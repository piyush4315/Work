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/>
  <bookViews>
    <workbookView xWindow="0" yWindow="0" windowWidth="24000" windowHeight="14000"/>
  </bookViews>
  <sheets>
    <sheet name="Cash Receivables" sheetId="1" r:id="rId1"/>
    <sheet name="Pivot Analytics" sheetId="2" r:id="rId3"/>
    <sheet name="Power BI" sheetId="3" r:id="rId4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&quot;₹&quot;#,##0"/>
  </numFmts>
  <fonts count="5">
    <font>
      <sz val="10"/>
      <name val="Calibri"/>
      <color rgb="FF1E293B"/>
    </font>
    <font>
      <b/>
      <sz val="10"/>
      <name val="Calibri"/>
      <color rgb="FF1E293B"/>
    </font>
    <font>
      <b/>
      <sz val="10"/>
      <name val="Calibri"/>
      <color rgb="FFFFFFFF"/>
    </font>
    <font>
      <b/>
      <sz val="14"/>
      <name val="Calibri"/>
      <color rgb="FF002FA7"/>
    </font>
    <font>
      <b/>
      <sz val="10"/>
      <name val="Calibri"/>
      <color rgb="FF0F172A"/>
    </font>
  </fonts>
  <fills count="6">
    <fill>
      <patternFill patternType="none"/>
    </fill>
    <fill>
      <patternFill patternType="gray125"/>
    </fill>
    <fill>
      <patternFill patternType="solid">
        <fgColor rgb="FF002FA7"/>
        <bgColor indexed="64"/>
      </patternFill>
    </fill>
    <fill>
      <patternFill patternType="solid">
        <fgColor rgb="FFE8F1F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B1F4B"/>
        <bgColor indexed="64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8">
    <xf numFmtId="0" fontId="0" fillId="0" borderId="1" xfId="0" applyBorder="1"/>
    <xf numFmtId="0" fontId="1" fillId="0" borderId="1" xfId="0" applyFont="1" applyBorder="1"/>
    <xf numFmtId="165" fontId="0" fillId="3" borderId="1" xfId="0" applyNumberFormat="1" applyFill="1" applyBorder="1"/>
    <xf numFmtId="165" fontId="1" fillId="5" borderId="1" xfId="0" applyFont="1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10" fontId="0" fillId="0" borderId="1" xfId="0" applyNumberFormat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right"/>
    </xf>
    <xf numFmtId="165" fontId="0" fillId="4" borderId="1" xfId="0" applyNumberFormat="1" applyFill="1" applyBorder="1"/>
    <xf numFmtId="165" fontId="0" fillId="3" borderId="1" xfId="0" applyNumberFormat="1" applyFill="1" applyBorder="1"/>
    <xf numFmtId="165" fontId="4" fillId="3" borderId="1" xfId="0" applyFont="1" applyNumberFormat="1" applyFill="1" applyBorder="1"/>
    <xf numFmtId="14" fontId="0" fillId="4" borderId="1" xfId="0" applyNumberFormat="1" applyFill="1" applyBorder="1" applyAlignment="1">
      <alignment horizontal="center"/>
    </xf>
    <xf numFmtId="165" fontId="1" fillId="3" borderId="1" xfId="0" applyFont="1" applyNumberFormat="1" applyFill="1" applyBorder="1"/>
    <xf numFmtId="0" fontId="2" fillId="5" borderId="1" xfId="0" applyFont="1" applyFill="1" applyBorder="1" applyAlignment="1">
      <alignment horizontal="left" vertical="center"/>
    </xf>
    <xf numFmtId="165" fontId="2" fillId="5" borderId="1" xfId="0" applyFont="1" applyNumberFormat="1" applyFill="1" applyBorder="1"/>
  </cellXfs>
  <cellStyles count="1">
    <cellStyle name="Normal" xfId="0" builtinId="0"/>
  </cellStyles>
  <dxfs count="2">
    <dxf>
      <font>
        <b/>
        <color rgb="FFB91C1C"/>
      </font>
    </dxf>
    <dxf>
      <font>
        <b/>
        <color rgb="FF15803D"/>
      </font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CashReceivables" displayName="CashReceivables" ref="A1:AA38" totalsRowShown="0">
  <autoFilter ref="A1:AA38"/>
  <tableColumns count="27">
    <tableColumn id="1" name="Lot No"/>
    <tableColumn id="2" name="Buyer"/>
    <tableColumn id="3" name="Auction"/>
    <tableColumn id="4" name="Material"/>
    <tableColumn id="5" name="Unit"/>
    <tableColumn id="6" name="Qty"/>
    <tableColumn id="7" name="Rate"/>
    <tableColumn id="8" name="Material Value"/>
    <tableColumn id="9" name="GST"/>
    <tableColumn id="10" name="TCS"/>
    <tableColumn id="11" name="MSTC Service Charge"/>
    <tableColumn id="12" name="TDS 194H"/>
    <tableColumn id="13" name="Net Service Charge"/>
    <tableColumn id="14" name="TDS 194O"/>
    <tableColumn id="15" name="GST TDS Rate %"/>
    <tableColumn id="16" name="GST TDS"/>
    <tableColumn id="17" name="Total Receivables in Cash"/>
    <tableColumn id="18" name="SD Expected"/>
    <tableColumn id="19" name="SD Received"/>
    <tableColumn id="20" name="SD Date"/>
    <tableColumn id="21" name="FP Expected"/>
    <tableColumn id="22" name="FP Received"/>
    <tableColumn id="23" name="FP Date"/>
    <tableColumn id="24" name="Total Received"/>
    <tableColumn id="25" name="Outstanding"/>
    <tableColumn id="26" name="Invoice No"/>
    <tableColumn id="27" name="Invoice Lin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imBuyer" displayName="DimBuyer" ref="A32:A45" totalsRowShown="0">
  <autoFilter ref="A32:A45"/>
  <tableColumns count="1">
    <tableColumn id="1" name="Buy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mAuction" displayName="DimAuction" ref="C32:C36" totalsRowShown="0">
  <autoFilter ref="C32:C36"/>
  <tableColumns count="1">
    <tableColumn id="1" name="Auc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FA7"/>
    <pageSetUpPr fitToPage="1"/>
  </sheetPr>
  <dimension ref="A1:AA39"/>
  <sheetViews>
    <sheetView workbookViewId="0" showGridLines="1" tabSelected="1">
      <pane ySplit="1" topLeftCell="A2" activePane="bottomLeft" state="frozen"/>
    </sheetView>
  </sheetViews>
  <sheetFormatPr defaultRowHeight="16"/>
  <cols>
    <col min="1" max="1" width="9"/>
    <col min="2" max="2" width="34"/>
    <col min="3" max="3" width="9"/>
    <col min="4" max="4" width="44"/>
    <col min="5" max="5" width="7"/>
    <col min="6" max="7" width="10"/>
    <col min="8" max="16" width="15"/>
    <col min="17" max="17" width="22"/>
    <col min="18" max="24" width="13"/>
    <col min="25" max="25" width="15"/>
  </cols>
  <sheetData>
    <row r="1" ht="22" customHeight="1">
      <c r="A1" t="inlineStr" s="4">
        <is>
          <t xml:space="preserve">Lot No</t>
        </is>
      </c>
      <c r="B1" t="inlineStr" s="4">
        <is>
          <t xml:space="preserve">Buyer</t>
        </is>
      </c>
      <c r="C1" t="inlineStr" s="4">
        <is>
          <t xml:space="preserve">Auction</t>
        </is>
      </c>
      <c r="D1" t="inlineStr" s="4">
        <is>
          <t xml:space="preserve">Material</t>
        </is>
      </c>
      <c r="E1" t="inlineStr" s="4">
        <is>
          <t xml:space="preserve">Unit</t>
        </is>
      </c>
      <c r="F1" t="inlineStr" s="4">
        <is>
          <t xml:space="preserve">Qty</t>
        </is>
      </c>
      <c r="G1" t="inlineStr" s="4">
        <is>
          <t xml:space="preserve">Rate</t>
        </is>
      </c>
      <c r="H1" t="inlineStr" s="4">
        <is>
          <t xml:space="preserve">Material Value</t>
        </is>
      </c>
      <c r="I1" t="inlineStr" s="4">
        <is>
          <t xml:space="preserve">GST</t>
        </is>
      </c>
      <c r="J1" t="inlineStr" s="4">
        <is>
          <t xml:space="preserve">TCS</t>
        </is>
      </c>
      <c r="K1" t="inlineStr" s="4">
        <is>
          <t xml:space="preserve">MSTC Service Charge</t>
        </is>
      </c>
      <c r="L1" t="inlineStr" s="4">
        <is>
          <t xml:space="preserve">TDS 194H</t>
        </is>
      </c>
      <c r="M1" t="inlineStr" s="4">
        <is>
          <t xml:space="preserve">Net Service Charge</t>
        </is>
      </c>
      <c r="N1" t="inlineStr" s="4">
        <is>
          <t xml:space="preserve">TDS 194O</t>
        </is>
      </c>
      <c r="O1" t="inlineStr" s="4">
        <is>
          <t xml:space="preserve">GST TDS Rate %</t>
        </is>
      </c>
      <c r="P1" t="inlineStr" s="4">
        <is>
          <t xml:space="preserve">GST TDS</t>
        </is>
      </c>
      <c r="Q1" t="inlineStr" s="4">
        <is>
          <t xml:space="preserve">Total Receivables in Cash</t>
        </is>
      </c>
      <c r="R1" t="inlineStr" s="4">
        <is>
          <t xml:space="preserve">SD Expected</t>
        </is>
      </c>
      <c r="S1" t="inlineStr" s="4">
        <is>
          <t xml:space="preserve">SD Received</t>
        </is>
      </c>
      <c r="T1" t="inlineStr" s="4">
        <is>
          <t xml:space="preserve">SD Date</t>
        </is>
      </c>
      <c r="U1" t="inlineStr" s="4">
        <is>
          <t xml:space="preserve">FP Expected</t>
        </is>
      </c>
      <c r="V1" t="inlineStr" s="4">
        <is>
          <t xml:space="preserve">FP Received</t>
        </is>
      </c>
      <c r="W1" t="inlineStr" s="4">
        <is>
          <t xml:space="preserve">FP Date</t>
        </is>
      </c>
      <c r="X1" t="inlineStr" s="4">
        <is>
          <t xml:space="preserve">Total Received</t>
        </is>
      </c>
      <c r="Y1" t="inlineStr" s="4">
        <is>
          <t xml:space="preserve">Outstanding</t>
        </is>
      </c>
      <c r="Z1" t="inlineStr" s="4">
        <is>
          <t xml:space="preserve">Invoice No</t>
        </is>
      </c>
      <c r="AA1" t="inlineStr" s="4">
        <is>
          <t xml:space="preserve">Invoice Link</t>
        </is>
      </c>
    </row>
    <row r="2">
      <c r="A2" s="10">
        <v>1763</v>
      </c>
      <c r="B2" t="inlineStr" s="9">
        <is>
          <t xml:space="preserve">AL HAMD TRADE CORPORATION</t>
        </is>
      </c>
      <c r="C2" s="10">
        <v>21980</v>
      </c>
      <c r="D2" t="inlineStr" s="9">
        <is>
          <t xml:space="preserve">SCRAP COPPER OF T/F WINDING (Oil impregnated paper insulated T/F winding)</t>
        </is>
      </c>
      <c r="E2" t="inlineStr" s="9">
        <is>
          <t xml:space="preserve">KG</t>
        </is>
      </c>
      <c r="F2" s="10">
        <v>669</v>
      </c>
      <c r="G2" s="10">
        <v>1181</v>
      </c>
      <c r="H2" s="12">
        <f>F2*G2</f>
        <v>790089</v>
      </c>
      <c r="I2" s="12">
        <f>ROUND(H2*0.18,0)</f>
        <v>142216</v>
      </c>
      <c r="J2" s="12">
        <f>ROUND((H2+I2)*0.02,0)</f>
        <v>18646</v>
      </c>
      <c r="K2" s="12">
        <f>ROUND((H2+I2)*0.0225,0)</f>
        <v>20977</v>
      </c>
      <c r="L2" s="12">
        <f>ROUND(H2*0.0225*0.02,0)</f>
        <v>356</v>
      </c>
      <c r="M2" s="12">
        <f>K2-L2</f>
        <v>20621</v>
      </c>
      <c r="N2" s="12">
        <f>ROUND(H2*0.001,0)</f>
        <v>790</v>
      </c>
      <c r="O2" s="10"/>
      <c r="P2" s="12">
        <f>ROUND(H2*O2/100,0)</f>
        <v>15802</v>
      </c>
      <c r="Q2" s="13">
        <f>H2+I2+J2-M2-N2-P2</f>
        <v>913738</v>
      </c>
      <c r="R2" s="12">
        <f>ROUND(H2*0.25,0)</f>
        <v>197522</v>
      </c>
      <c r="S2" s="11">
        <v>0</v>
      </c>
      <c r="T2" s="9"/>
      <c r="U2" s="12">
        <f>Q2-R2</f>
        <v>716215</v>
      </c>
      <c r="V2" s="11">
        <v>0</v>
      </c>
      <c r="W2" s="9"/>
      <c r="X2" s="13">
        <f>S2+V2</f>
        <v>0</v>
      </c>
      <c r="Y2" s="13">
        <f>Q2-X2</f>
        <v>913738</v>
      </c>
      <c r="Z2" s="9"/>
      <c r="AA2" s="9"/>
    </row>
    <row r="3">
      <c r="A3" s="10">
        <v>1875</v>
      </c>
      <c r="B3" t="inlineStr" s="9">
        <is>
          <t xml:space="preserve">F R KHANS ENTERPRISES</t>
        </is>
      </c>
      <c r="C3" s="10">
        <v>21977</v>
      </c>
      <c r="D3" t="inlineStr" s="9">
        <is>
          <t xml:space="preserve">Scrap of Copper of faulty AC compressor</t>
        </is>
      </c>
      <c r="E3" t="inlineStr" s="9">
        <is>
          <t xml:space="preserve">KG</t>
        </is>
      </c>
      <c r="F3" s="10">
        <v>28</v>
      </c>
      <c r="G3" s="10">
        <v>1456</v>
      </c>
      <c r="H3" s="12">
        <f>F3*G3</f>
        <v>40768</v>
      </c>
      <c r="I3" s="12">
        <f>ROUND(H3*0.18,0)</f>
        <v>7338</v>
      </c>
      <c r="J3" s="12">
        <f>ROUND((H3+I3)*0.02,0)</f>
        <v>962</v>
      </c>
      <c r="K3" s="12">
        <f>ROUND((H3+I3)*0.0225,0)</f>
        <v>1082</v>
      </c>
      <c r="L3" s="12">
        <f>ROUND(H3*0.0225*0.02,0)</f>
        <v>18</v>
      </c>
      <c r="M3" s="12">
        <f>K3-L3</f>
        <v>1064</v>
      </c>
      <c r="N3" s="12">
        <f>ROUND(H3*0.001,0)</f>
        <v>41</v>
      </c>
      <c r="O3" s="10"/>
      <c r="P3" s="12">
        <f>ROUND(H3*O3/100,0)</f>
        <v>815</v>
      </c>
      <c r="Q3" s="13">
        <f>H3+I3+J3-M3-N3-P3</f>
        <v>47149</v>
      </c>
      <c r="R3" s="12">
        <f>ROUND(H3*0.25,0)</f>
        <v>10192</v>
      </c>
      <c r="S3" s="11">
        <v>10192</v>
      </c>
      <c r="T3" t="inlineStr" s="9">
        <is>
          <t xml:space="preserve">11.08.2026</t>
        </is>
      </c>
      <c r="U3" s="12">
        <f>Q3-R3</f>
        <v>36957</v>
      </c>
      <c r="V3" s="11">
        <v>0</v>
      </c>
      <c r="W3" s="9"/>
      <c r="X3" s="13">
        <f>S3+V3</f>
        <v>10192</v>
      </c>
      <c r="Y3" s="13">
        <f>Q3-X3</f>
        <v>36957</v>
      </c>
      <c r="Z3" s="9"/>
      <c r="AA3" s="9"/>
    </row>
    <row r="4">
      <c r="A4" s="10">
        <v>1876</v>
      </c>
      <c r="B4" t="inlineStr" s="9">
        <is>
          <t xml:space="preserve">F R KHANS ENTERPRISES</t>
        </is>
      </c>
      <c r="C4" s="10">
        <v>21977</v>
      </c>
      <c r="D4" t="inlineStr" s="9">
        <is>
          <t xml:space="preserve">Scrap of MS (extracted from equip cage and empty Sf6 gas cylinder)</t>
        </is>
      </c>
      <c r="E4" t="inlineStr" s="9">
        <is>
          <t xml:space="preserve">KG</t>
        </is>
      </c>
      <c r="F4" s="10">
        <v>3000</v>
      </c>
      <c r="G4" s="10">
        <v>66</v>
      </c>
      <c r="H4" s="12">
        <f>F4*G4</f>
        <v>198000</v>
      </c>
      <c r="I4" s="12">
        <f>ROUND(H4*0.18,0)</f>
        <v>35640</v>
      </c>
      <c r="J4" s="12">
        <f>ROUND((H4+I4)*0.02,0)</f>
        <v>4673</v>
      </c>
      <c r="K4" s="12">
        <f>ROUND((H4+I4)*0.0225,0)</f>
        <v>5257</v>
      </c>
      <c r="L4" s="12">
        <f>ROUND(H4*0.0225*0.02,0)</f>
        <v>89</v>
      </c>
      <c r="M4" s="12">
        <f>K4-L4</f>
        <v>5168</v>
      </c>
      <c r="N4" s="12">
        <f>ROUND(H4*0.001,0)</f>
        <v>198</v>
      </c>
      <c r="O4" s="10"/>
      <c r="P4" s="12">
        <f>ROUND(H4*O4/100,0)</f>
        <v>3960</v>
      </c>
      <c r="Q4" s="13">
        <f>H4+I4+J4-M4-N4-P4</f>
        <v>228987</v>
      </c>
      <c r="R4" s="12">
        <f>ROUND(H4*0.25,0)</f>
        <v>49500</v>
      </c>
      <c r="S4" s="11">
        <v>49500</v>
      </c>
      <c r="T4" t="inlineStr" s="9">
        <is>
          <t xml:space="preserve">14.08.2026</t>
        </is>
      </c>
      <c r="U4" s="12">
        <f>Q4-R4</f>
        <v>179487</v>
      </c>
      <c r="V4" s="11">
        <v>0</v>
      </c>
      <c r="W4" s="9"/>
      <c r="X4" s="13">
        <f>S4+V4</f>
        <v>49500</v>
      </c>
      <c r="Y4" s="13">
        <f>Q4-X4</f>
        <v>179487</v>
      </c>
      <c r="Z4" s="9"/>
      <c r="AA4" s="9"/>
    </row>
    <row r="5">
      <c r="A5" s="10">
        <v>2008</v>
      </c>
      <c r="B5" t="inlineStr" s="9">
        <is>
          <t xml:space="preserve">HIND TRADERS</t>
        </is>
      </c>
      <c r="C5" s="10">
        <v>21977</v>
      </c>
      <c r="D5" t="inlineStr" s="9">
        <is>
          <t xml:space="preserve">Scrap of empty oil Druam</t>
        </is>
      </c>
      <c r="E5" t="inlineStr" s="9">
        <is>
          <t xml:space="preserve">NO</t>
        </is>
      </c>
      <c r="F5" s="10">
        <v>250</v>
      </c>
      <c r="G5" s="10">
        <v>543</v>
      </c>
      <c r="H5" s="12">
        <f>F5*G5</f>
        <v>135750</v>
      </c>
      <c r="I5" s="12">
        <f>ROUND(H5*0.18,0)</f>
        <v>24435</v>
      </c>
      <c r="J5" s="12">
        <f>ROUND((H5+I5)*0.02,0)</f>
        <v>3204</v>
      </c>
      <c r="K5" s="12">
        <f>ROUND((H5+I5)*0.0225,0)</f>
        <v>3604</v>
      </c>
      <c r="L5" s="12">
        <f>ROUND(H5*0.0225*0.02,0)</f>
        <v>61</v>
      </c>
      <c r="M5" s="12">
        <f>K5-L5</f>
        <v>3543</v>
      </c>
      <c r="N5" s="12">
        <f>ROUND(H5*0.001,0)</f>
        <v>136</v>
      </c>
      <c r="O5" s="10"/>
      <c r="P5" s="12">
        <f>ROUND(H5*O5/100,0)</f>
        <v>0</v>
      </c>
      <c r="Q5" s="13">
        <f>H5+I5+J5-M5-N5-P5</f>
        <v>159710</v>
      </c>
      <c r="R5" s="12">
        <f>ROUND(H5*0.25,0)</f>
        <v>33938</v>
      </c>
      <c r="S5" s="11">
        <v>33938</v>
      </c>
      <c r="T5" t="inlineStr" s="9">
        <is>
          <t xml:space="preserve">13.08.2026</t>
        </is>
      </c>
      <c r="U5" s="12">
        <f>Q5-R5</f>
        <v>125772</v>
      </c>
      <c r="V5" s="11">
        <v>0</v>
      </c>
      <c r="W5" s="9"/>
      <c r="X5" s="13">
        <f>S5+V5</f>
        <v>33938</v>
      </c>
      <c r="Y5" s="13">
        <f>Q5-X5</f>
        <v>125772</v>
      </c>
      <c r="Z5" s="9"/>
      <c r="AA5" s="9"/>
    </row>
    <row r="6">
      <c r="A6" s="10">
        <v>2086</v>
      </c>
      <c r="B6" t="inlineStr" s="9">
        <is>
          <t xml:space="preserve">KASHYAP TRADING CO</t>
        </is>
      </c>
      <c r="C6" s="10">
        <v>21980</v>
      </c>
      <c r="D6" t="inlineStr" s="9">
        <is>
          <t xml:space="preserve">Scrap of 132 KV CT</t>
        </is>
      </c>
      <c r="E6" t="inlineStr" s="9">
        <is>
          <t xml:space="preserve">NO</t>
        </is>
      </c>
      <c r="F6" s="10">
        <v>3</v>
      </c>
      <c r="G6" s="10">
        <v>70001</v>
      </c>
      <c r="H6" s="12">
        <f>F6*G6</f>
        <v>210003</v>
      </c>
      <c r="I6" s="12">
        <f>ROUND(H6*0.18,0)</f>
        <v>37801</v>
      </c>
      <c r="J6" s="12">
        <f>ROUND((H6+I6)*0.02,0)</f>
        <v>4956</v>
      </c>
      <c r="K6" s="12">
        <f>ROUND((H6+I6)*0.0225,0)</f>
        <v>5576</v>
      </c>
      <c r="L6" s="12">
        <f>ROUND(H6*0.0225*0.02,0)</f>
        <v>95</v>
      </c>
      <c r="M6" s="12">
        <f>K6-L6</f>
        <v>5481</v>
      </c>
      <c r="N6" s="12">
        <f>ROUND(H6*0.001,0)</f>
        <v>210</v>
      </c>
      <c r="O6" s="10"/>
      <c r="P6" s="12">
        <f>ROUND(H6*O6/100,0)</f>
        <v>0</v>
      </c>
      <c r="Q6" s="13">
        <f>H6+I6+J6-M6-N6-P6</f>
        <v>247069</v>
      </c>
      <c r="R6" s="12">
        <f>ROUND(H6*0.25,0)</f>
        <v>52501</v>
      </c>
      <c r="S6" s="11">
        <v>52501</v>
      </c>
      <c r="T6" t="inlineStr" s="9">
        <is>
          <t xml:space="preserve">14.08.2026</t>
        </is>
      </c>
      <c r="U6" s="12">
        <f>Q6-R6</f>
        <v>194568</v>
      </c>
      <c r="V6" s="11">
        <v>194568</v>
      </c>
      <c r="W6" t="inlineStr" s="9">
        <is>
          <t xml:space="preserve">17.08.2026</t>
        </is>
      </c>
      <c r="X6" s="13">
        <f>S6+V6</f>
        <v>247069</v>
      </c>
      <c r="Y6" s="13">
        <f>Q6-X6</f>
        <v>0</v>
      </c>
      <c r="Z6" s="9"/>
      <c r="AA6" s="9"/>
    </row>
    <row r="7">
      <c r="A7" s="10">
        <v>2036</v>
      </c>
      <c r="B7" t="inlineStr" s="9">
        <is>
          <t xml:space="preserve">M I SCRAP TRADERS</t>
        </is>
      </c>
      <c r="C7" s="10">
        <v>21978</v>
      </c>
      <c r="D7" t="inlineStr" s="9">
        <is>
          <t xml:space="preserve">Mix Scrap (Tower angles &amp; 0.2 ACSR Condutor pieces)</t>
        </is>
      </c>
      <c r="E7" t="inlineStr" s="9">
        <is>
          <t xml:space="preserve">MT</t>
        </is>
      </c>
      <c r="F7" s="10">
        <v>8.2</v>
      </c>
      <c r="G7" s="10">
        <v>67000</v>
      </c>
      <c r="H7" s="12">
        <f>F7*G7</f>
        <v>549400</v>
      </c>
      <c r="I7" s="12">
        <f>ROUND(H7*0.18,0)</f>
        <v>98892</v>
      </c>
      <c r="J7" s="12">
        <f>ROUND((H7+I7)*0.02,0)</f>
        <v>12966</v>
      </c>
      <c r="K7" s="12">
        <f>ROUND((H7+I7)*0.0225,0)</f>
        <v>14587</v>
      </c>
      <c r="L7" s="12">
        <f>ROUND(H7*0.0225*0.02,0)</f>
        <v>247</v>
      </c>
      <c r="M7" s="12">
        <f>K7-L7</f>
        <v>14339</v>
      </c>
      <c r="N7" s="12">
        <f>ROUND(H7*0.001,0)</f>
        <v>549</v>
      </c>
      <c r="O7" s="10"/>
      <c r="P7" s="12">
        <f>ROUND(H7*O7/100,0)</f>
        <v>10988</v>
      </c>
      <c r="Q7" s="13">
        <f>H7+I7+J7-M7-N7-P7</f>
        <v>635381</v>
      </c>
      <c r="R7" s="12">
        <f>ROUND(H7*0.25,0)</f>
        <v>137350</v>
      </c>
      <c r="S7" s="11">
        <v>137350</v>
      </c>
      <c r="T7" t="inlineStr" s="9">
        <is>
          <t xml:space="preserve">14.08.2026</t>
        </is>
      </c>
      <c r="U7" s="12">
        <f>Q7-R7</f>
        <v>498031</v>
      </c>
      <c r="V7" s="11">
        <v>0</v>
      </c>
      <c r="W7" s="9"/>
      <c r="X7" s="13">
        <f>S7+V7</f>
        <v>137350</v>
      </c>
      <c r="Y7" s="13">
        <f>Q7-X7</f>
        <v>498031</v>
      </c>
      <c r="Z7" s="9"/>
      <c r="AA7" s="9"/>
    </row>
    <row r="8">
      <c r="A8" s="10">
        <v>1874</v>
      </c>
      <c r="B8" t="inlineStr" s="9">
        <is>
          <t xml:space="preserve">NATIONAL ENTERPRISES</t>
        </is>
      </c>
      <c r="C8" s="10">
        <v>21977</v>
      </c>
      <c r="D8" t="inlineStr" s="9">
        <is>
          <t xml:space="preserve">Scrap of Empty oil drum</t>
        </is>
      </c>
      <c r="E8" t="inlineStr" s="9">
        <is>
          <t xml:space="preserve">NO</t>
        </is>
      </c>
      <c r="F8" s="10">
        <v>270</v>
      </c>
      <c r="G8" s="10">
        <v>580</v>
      </c>
      <c r="H8" s="12">
        <f>F8*G8</f>
        <v>156600</v>
      </c>
      <c r="I8" s="12">
        <f>ROUND(H8*0.18,0)</f>
        <v>28188</v>
      </c>
      <c r="J8" s="12">
        <f>ROUND((H8+I8)*0.02,0)</f>
        <v>3696</v>
      </c>
      <c r="K8" s="12">
        <f>ROUND((H8+I8)*0.0225,0)</f>
        <v>4158</v>
      </c>
      <c r="L8" s="12">
        <f>ROUND(H8*0.0225*0.02,0)</f>
        <v>70</v>
      </c>
      <c r="M8" s="12">
        <f>K8-L8</f>
        <v>4087</v>
      </c>
      <c r="N8" s="12">
        <f>ROUND(H8*0.001,0)</f>
        <v>157</v>
      </c>
      <c r="O8" s="10"/>
      <c r="P8" s="12">
        <f>ROUND(H8*O8/100,0)</f>
        <v>0</v>
      </c>
      <c r="Q8" s="13">
        <f>H8+I8+J8-M8-N8-P8</f>
        <v>184240</v>
      </c>
      <c r="R8" s="12">
        <f>ROUND(H8*0.25,0)</f>
        <v>39150</v>
      </c>
      <c r="S8" s="11">
        <v>39150</v>
      </c>
      <c r="T8" t="inlineStr" s="9">
        <is>
          <t xml:space="preserve">11.08.2026</t>
        </is>
      </c>
      <c r="U8" s="12">
        <f>Q8-R8</f>
        <v>145090</v>
      </c>
      <c r="V8" s="11">
        <v>0</v>
      </c>
      <c r="W8" s="9"/>
      <c r="X8" s="13">
        <f>S8+V8</f>
        <v>39150</v>
      </c>
      <c r="Y8" s="13">
        <f>Q8-X8</f>
        <v>145090</v>
      </c>
      <c r="Z8" s="9"/>
      <c r="AA8" s="9"/>
    </row>
    <row r="9">
      <c r="A9" s="10">
        <v>2002</v>
      </c>
      <c r="B9" t="inlineStr" s="9">
        <is>
          <t xml:space="preserve">NATIONAL ENTERPRISES</t>
        </is>
      </c>
      <c r="C9" s="10">
        <v>21977</v>
      </c>
      <c r="D9" t="inlineStr" s="9">
        <is>
          <t xml:space="preserve">Scrap of 132 KV CT</t>
        </is>
      </c>
      <c r="E9" t="inlineStr" s="9">
        <is>
          <t xml:space="preserve">NO</t>
        </is>
      </c>
      <c r="F9" s="10">
        <v>4</v>
      </c>
      <c r="G9" s="10">
        <v>51511</v>
      </c>
      <c r="H9" s="12">
        <f>F9*G9</f>
        <v>206044</v>
      </c>
      <c r="I9" s="12">
        <f>ROUND(H9*0.18,0)</f>
        <v>37088</v>
      </c>
      <c r="J9" s="12">
        <f>ROUND((H9+I9)*0.02,0)</f>
        <v>4863</v>
      </c>
      <c r="K9" s="12">
        <f>ROUND((H9+I9)*0.0225,0)</f>
        <v>5470</v>
      </c>
      <c r="L9" s="12">
        <f>ROUND(H9*0.0225*0.02,0)</f>
        <v>93</v>
      </c>
      <c r="M9" s="12">
        <f>K9-L9</f>
        <v>5378</v>
      </c>
      <c r="N9" s="12">
        <f>ROUND(H9*0.001,0)</f>
        <v>206</v>
      </c>
      <c r="O9" s="10"/>
      <c r="P9" s="12">
        <f>ROUND(H9*O9/100,0)</f>
        <v>0</v>
      </c>
      <c r="Q9" s="13">
        <f>H9+I9+J9-M9-N9-P9</f>
        <v>242411</v>
      </c>
      <c r="R9" s="12">
        <f>ROUND(H9*0.25,0)</f>
        <v>51511</v>
      </c>
      <c r="S9" s="11">
        <v>51511</v>
      </c>
      <c r="T9" t="inlineStr" s="9">
        <is>
          <t xml:space="preserve">13.08.2026</t>
        </is>
      </c>
      <c r="U9" s="12">
        <f>Q9-R9</f>
        <v>190900</v>
      </c>
      <c r="V9" s="11">
        <v>0</v>
      </c>
      <c r="W9" s="9"/>
      <c r="X9" s="13">
        <f>S9+V9</f>
        <v>51511</v>
      </c>
      <c r="Y9" s="13">
        <f>Q9-X9</f>
        <v>190900</v>
      </c>
      <c r="Z9" s="9"/>
      <c r="AA9" s="9"/>
    </row>
    <row r="10">
      <c r="A10" s="10">
        <v>2003</v>
      </c>
      <c r="B10" t="inlineStr" s="9">
        <is>
          <t xml:space="preserve">NATIONAL ENTERPRISES</t>
        </is>
      </c>
      <c r="C10" s="10">
        <v>21977</v>
      </c>
      <c r="D10" t="inlineStr" s="9">
        <is>
          <t xml:space="preserve">Scrap of 145 KV CB</t>
        </is>
      </c>
      <c r="E10" t="inlineStr" s="9">
        <is>
          <t xml:space="preserve">NO</t>
        </is>
      </c>
      <c r="F10" s="10">
        <v>1</v>
      </c>
      <c r="G10" s="10">
        <v>65007</v>
      </c>
      <c r="H10" s="12">
        <f>F10*G10</f>
        <v>65007</v>
      </c>
      <c r="I10" s="12">
        <f>ROUND(H10*0.18,0)</f>
        <v>11701</v>
      </c>
      <c r="J10" s="12">
        <f>ROUND((H10+I10)*0.02,0)</f>
        <v>1534</v>
      </c>
      <c r="K10" s="12">
        <f>ROUND((H10+I10)*0.0225,0)</f>
        <v>1726</v>
      </c>
      <c r="L10" s="12">
        <f>ROUND(H10*0.0225*0.02,0)</f>
        <v>29</v>
      </c>
      <c r="M10" s="12">
        <f>K10-L10</f>
        <v>1697</v>
      </c>
      <c r="N10" s="12">
        <f>ROUND(H10*0.001,0)</f>
        <v>65</v>
      </c>
      <c r="O10" s="10"/>
      <c r="P10" s="12">
        <f>ROUND(H10*O10/100,0)</f>
        <v>0</v>
      </c>
      <c r="Q10" s="13">
        <f>H10+I10+J10-M10-N10-P10</f>
        <v>76481</v>
      </c>
      <c r="R10" s="12">
        <f>ROUND(H10*0.25,0)</f>
        <v>16252</v>
      </c>
      <c r="S10" s="11">
        <v>16252</v>
      </c>
      <c r="T10" t="inlineStr" s="9">
        <is>
          <t xml:space="preserve">13.08.2026</t>
        </is>
      </c>
      <c r="U10" s="12">
        <f>Q10-R10</f>
        <v>60229</v>
      </c>
      <c r="V10" s="11">
        <v>0</v>
      </c>
      <c r="W10" s="9"/>
      <c r="X10" s="13">
        <f>S10+V10</f>
        <v>16252</v>
      </c>
      <c r="Y10" s="13">
        <f>Q10-X10</f>
        <v>60229</v>
      </c>
      <c r="Z10" s="9"/>
      <c r="AA10" s="9"/>
    </row>
    <row r="11">
      <c r="A11" s="10">
        <v>2005</v>
      </c>
      <c r="B11" t="inlineStr" s="9">
        <is>
          <t xml:space="preserve">NATIONAL ENTERPRISES</t>
        </is>
      </c>
      <c r="C11" s="10">
        <v>21977</v>
      </c>
      <c r="D11" t="inlineStr" s="9">
        <is>
          <t xml:space="preserve">Scrap of 220KV CT</t>
        </is>
      </c>
      <c r="E11" t="inlineStr" s="9">
        <is>
          <t xml:space="preserve">NO</t>
        </is>
      </c>
      <c r="F11" s="10">
        <v>1</v>
      </c>
      <c r="G11" s="10">
        <v>70006</v>
      </c>
      <c r="H11" s="12">
        <f>F11*G11</f>
        <v>70006</v>
      </c>
      <c r="I11" s="12">
        <f>ROUND(H11*0.18,0)</f>
        <v>12601</v>
      </c>
      <c r="J11" s="12">
        <f>ROUND((H11+I11)*0.02,0)</f>
        <v>1652</v>
      </c>
      <c r="K11" s="12">
        <f>ROUND((H11+I11)*0.0225,0)</f>
        <v>1859</v>
      </c>
      <c r="L11" s="12">
        <f>ROUND(H11*0.0225*0.02,0)</f>
        <v>32</v>
      </c>
      <c r="M11" s="12">
        <f>K11-L11</f>
        <v>1827</v>
      </c>
      <c r="N11" s="12">
        <f>ROUND(H11*0.001,0)</f>
        <v>70</v>
      </c>
      <c r="O11" s="10"/>
      <c r="P11" s="12">
        <f>ROUND(H11*O11/100,0)</f>
        <v>0</v>
      </c>
      <c r="Q11" s="13">
        <f>H11+I11+J11-M11-N11-P11</f>
        <v>82362</v>
      </c>
      <c r="R11" s="12">
        <f>ROUND(H11*0.25,0)</f>
        <v>17502</v>
      </c>
      <c r="S11" s="11">
        <v>17502</v>
      </c>
      <c r="T11" t="inlineStr" s="9">
        <is>
          <t xml:space="preserve">13.08.2026</t>
        </is>
      </c>
      <c r="U11" s="12">
        <f>Q11-R11</f>
        <v>64861</v>
      </c>
      <c r="V11" s="11">
        <v>0</v>
      </c>
      <c r="W11" s="9"/>
      <c r="X11" s="13">
        <f>S11+V11</f>
        <v>17502</v>
      </c>
      <c r="Y11" s="13">
        <f>Q11-X11</f>
        <v>64860</v>
      </c>
      <c r="Z11" s="9"/>
      <c r="AA11" s="9"/>
    </row>
    <row r="12">
      <c r="A12" s="10">
        <v>2018</v>
      </c>
      <c r="B12" t="inlineStr" s="9">
        <is>
          <t xml:space="preserve">NATIONAL ENTERPRISES</t>
        </is>
      </c>
      <c r="C12" s="10">
        <v>21978</v>
      </c>
      <c r="D12" t="inlineStr" s="9">
        <is>
          <t xml:space="preserve">Scrap of 220 KV Circuit Breaker</t>
        </is>
      </c>
      <c r="E12" t="inlineStr" s="9">
        <is>
          <t xml:space="preserve">NO</t>
        </is>
      </c>
      <c r="F12" s="10">
        <v>1</v>
      </c>
      <c r="G12" s="10">
        <v>220001</v>
      </c>
      <c r="H12" s="12">
        <f>F12*G12</f>
        <v>220001</v>
      </c>
      <c r="I12" s="12">
        <f>ROUND(H12*0.18,0)</f>
        <v>39600</v>
      </c>
      <c r="J12" s="12">
        <f>ROUND((H12+I12)*0.02,0)</f>
        <v>5192</v>
      </c>
      <c r="K12" s="12">
        <f>ROUND((H12+I12)*0.0225,0)</f>
        <v>5841</v>
      </c>
      <c r="L12" s="12">
        <f>ROUND(H12*0.0225*0.02,0)</f>
        <v>99</v>
      </c>
      <c r="M12" s="12">
        <f>K12-L12</f>
        <v>5742</v>
      </c>
      <c r="N12" s="12">
        <f>ROUND(H12*0.001,0)</f>
        <v>220</v>
      </c>
      <c r="O12" s="10"/>
      <c r="P12" s="12">
        <f>ROUND(H12*O12/100,0)</f>
        <v>0</v>
      </c>
      <c r="Q12" s="13">
        <f>H12+I12+J12-M12-N12-P12</f>
        <v>258831</v>
      </c>
      <c r="R12" s="12">
        <f>ROUND(H12*0.25,0)</f>
        <v>55000</v>
      </c>
      <c r="S12" s="11">
        <v>55000</v>
      </c>
      <c r="T12" t="inlineStr" s="9">
        <is>
          <t xml:space="preserve">13.08.2026</t>
        </is>
      </c>
      <c r="U12" s="12">
        <f>Q12-R12</f>
        <v>203831</v>
      </c>
      <c r="V12" s="11">
        <v>0</v>
      </c>
      <c r="W12" s="9"/>
      <c r="X12" s="13">
        <f>S12+V12</f>
        <v>55000</v>
      </c>
      <c r="Y12" s="13">
        <f>Q12-X12</f>
        <v>203831</v>
      </c>
      <c r="Z12" s="9"/>
      <c r="AA12" s="9"/>
    </row>
    <row r="13">
      <c r="A13" s="10">
        <v>2019</v>
      </c>
      <c r="B13" t="inlineStr" s="9">
        <is>
          <t xml:space="preserve">NATIONAL ENTERPRISES</t>
        </is>
      </c>
      <c r="C13" s="10">
        <v>21978</v>
      </c>
      <c r="D13" t="inlineStr" s="9">
        <is>
          <t xml:space="preserve">Scrap of 220 KV Circuit Breaker</t>
        </is>
      </c>
      <c r="E13" t="inlineStr" s="9">
        <is>
          <t xml:space="preserve">NO</t>
        </is>
      </c>
      <c r="F13" s="10">
        <v>1</v>
      </c>
      <c r="G13" s="10">
        <v>210001</v>
      </c>
      <c r="H13" s="12">
        <f>F13*G13</f>
        <v>210001</v>
      </c>
      <c r="I13" s="12">
        <f>ROUND(H13*0.18,0)</f>
        <v>37800</v>
      </c>
      <c r="J13" s="12">
        <f>ROUND((H13+I13)*0.02,0)</f>
        <v>4956</v>
      </c>
      <c r="K13" s="12">
        <f>ROUND((H13+I13)*0.0225,0)</f>
        <v>5576</v>
      </c>
      <c r="L13" s="12">
        <f>ROUND(H13*0.0225*0.02,0)</f>
        <v>95</v>
      </c>
      <c r="M13" s="12">
        <f>K13-L13</f>
        <v>5481</v>
      </c>
      <c r="N13" s="12">
        <f>ROUND(H13*0.001,0)</f>
        <v>210</v>
      </c>
      <c r="O13" s="10"/>
      <c r="P13" s="12">
        <f>ROUND(H13*O13/100,0)</f>
        <v>0</v>
      </c>
      <c r="Q13" s="13">
        <f>H13+I13+J13-M13-N13-P13</f>
        <v>247066</v>
      </c>
      <c r="R13" s="12">
        <f>ROUND(H13*0.25,0)</f>
        <v>52500</v>
      </c>
      <c r="S13" s="11">
        <v>52500</v>
      </c>
      <c r="T13" t="inlineStr" s="9">
        <is>
          <t xml:space="preserve">13.08.2026</t>
        </is>
      </c>
      <c r="U13" s="12">
        <f>Q13-R13</f>
        <v>194566</v>
      </c>
      <c r="V13" s="11">
        <v>0</v>
      </c>
      <c r="W13" s="9"/>
      <c r="X13" s="13">
        <f>S13+V13</f>
        <v>52500</v>
      </c>
      <c r="Y13" s="13">
        <f>Q13-X13</f>
        <v>194566</v>
      </c>
      <c r="Z13" s="9"/>
      <c r="AA13" s="9"/>
    </row>
    <row r="14">
      <c r="A14" s="10">
        <v>2023</v>
      </c>
      <c r="B14" t="inlineStr" s="9">
        <is>
          <t xml:space="preserve">NATIONAL ENTERPRISES</t>
        </is>
      </c>
      <c r="C14" s="10">
        <v>21978</v>
      </c>
      <c r="D14" t="inlineStr" s="9">
        <is>
          <t xml:space="preserve">Scrap of 132 KV CT</t>
        </is>
      </c>
      <c r="E14" t="inlineStr" s="9">
        <is>
          <t xml:space="preserve">NO</t>
        </is>
      </c>
      <c r="F14" s="10">
        <v>3</v>
      </c>
      <c r="G14" s="10">
        <v>83743</v>
      </c>
      <c r="H14" s="12">
        <f>F14*G14</f>
        <v>251229</v>
      </c>
      <c r="I14" s="12">
        <f>ROUND(H14*0.18,0)</f>
        <v>45221</v>
      </c>
      <c r="J14" s="12">
        <f>ROUND((H14+I14)*0.02,0)</f>
        <v>5929</v>
      </c>
      <c r="K14" s="12">
        <f>ROUND((H14+I14)*0.0225,0)</f>
        <v>6670</v>
      </c>
      <c r="L14" s="12">
        <f>ROUND(H14*0.0225*0.02,0)</f>
        <v>113</v>
      </c>
      <c r="M14" s="12">
        <f>K14-L14</f>
        <v>6557</v>
      </c>
      <c r="N14" s="12">
        <f>ROUND(H14*0.001,0)</f>
        <v>251</v>
      </c>
      <c r="O14" s="10"/>
      <c r="P14" s="12">
        <f>ROUND(H14*O14/100,0)</f>
        <v>0</v>
      </c>
      <c r="Q14" s="13">
        <f>H14+I14+J14-M14-N14-P14</f>
        <v>295571</v>
      </c>
      <c r="R14" s="12">
        <f>ROUND(H14*0.25,0)</f>
        <v>62807</v>
      </c>
      <c r="S14" s="11">
        <v>62807</v>
      </c>
      <c r="T14" t="inlineStr" s="9">
        <is>
          <t xml:space="preserve">13.08.2026</t>
        </is>
      </c>
      <c r="U14" s="12">
        <f>Q14-R14</f>
        <v>232764</v>
      </c>
      <c r="V14" s="11">
        <v>0</v>
      </c>
      <c r="W14" s="9"/>
      <c r="X14" s="13">
        <f>S14+V14</f>
        <v>62807</v>
      </c>
      <c r="Y14" s="13">
        <f>Q14-X14</f>
        <v>232764</v>
      </c>
      <c r="Z14" s="9"/>
      <c r="AA14" s="9"/>
    </row>
    <row r="15">
      <c r="A15" s="10">
        <v>2027</v>
      </c>
      <c r="B15" t="inlineStr" s="9">
        <is>
          <t xml:space="preserve">NATIONAL ENTERPRISES</t>
        </is>
      </c>
      <c r="C15" s="10">
        <v>21978</v>
      </c>
      <c r="D15" t="inlineStr" s="9">
        <is>
          <t xml:space="preserve">Scrap of 132 KV CT</t>
        </is>
      </c>
      <c r="E15" t="inlineStr" s="9">
        <is>
          <t xml:space="preserve">NO</t>
        </is>
      </c>
      <c r="F15" s="10">
        <v>1</v>
      </c>
      <c r="G15" s="10">
        <v>50003</v>
      </c>
      <c r="H15" s="12">
        <f>F15*G15</f>
        <v>50003</v>
      </c>
      <c r="I15" s="12">
        <f>ROUND(H15*0.18,0)</f>
        <v>9001</v>
      </c>
      <c r="J15" s="12">
        <f>ROUND((H15+I15)*0.02,0)</f>
        <v>1180</v>
      </c>
      <c r="K15" s="12">
        <f>ROUND((H15+I15)*0.0225,0)</f>
        <v>1328</v>
      </c>
      <c r="L15" s="12">
        <f>ROUND(H15*0.0225*0.02,0)</f>
        <v>23</v>
      </c>
      <c r="M15" s="12">
        <f>K15-L15</f>
        <v>1305</v>
      </c>
      <c r="N15" s="12">
        <f>ROUND(H15*0.001,0)</f>
        <v>50</v>
      </c>
      <c r="O15" s="10"/>
      <c r="P15" s="12">
        <f>ROUND(H15*O15/100,0)</f>
        <v>0</v>
      </c>
      <c r="Q15" s="13">
        <f>H15+I15+J15-M15-N15-P15</f>
        <v>58829</v>
      </c>
      <c r="R15" s="12">
        <f>ROUND(H15*0.25,0)</f>
        <v>12501</v>
      </c>
      <c r="S15" s="11">
        <v>12501</v>
      </c>
      <c r="T15" t="inlineStr" s="9">
        <is>
          <t xml:space="preserve">14.08.2026</t>
        </is>
      </c>
      <c r="U15" s="12">
        <f>Q15-R15</f>
        <v>46328</v>
      </c>
      <c r="V15" s="11">
        <v>0</v>
      </c>
      <c r="W15" s="9"/>
      <c r="X15" s="13">
        <f>S15+V15</f>
        <v>12501</v>
      </c>
      <c r="Y15" s="13">
        <f>Q15-X15</f>
        <v>46328</v>
      </c>
      <c r="Z15" s="9"/>
      <c r="AA15" s="9"/>
    </row>
    <row r="16">
      <c r="A16" s="10">
        <v>2035</v>
      </c>
      <c r="B16" t="inlineStr" s="9">
        <is>
          <t xml:space="preserve">NATIONAL ENTERPRISES</t>
        </is>
      </c>
      <c r="C16" s="10">
        <v>21978</v>
      </c>
      <c r="D16" t="inlineStr" s="9">
        <is>
          <t xml:space="preserve">Scrap of 132 KV Wave Trap</t>
        </is>
      </c>
      <c r="E16" t="inlineStr" s="9">
        <is>
          <t xml:space="preserve">NO</t>
        </is>
      </c>
      <c r="F16" s="10">
        <v>2</v>
      </c>
      <c r="G16" s="10">
        <v>14001</v>
      </c>
      <c r="H16" s="12">
        <f>F16*G16</f>
        <v>28002</v>
      </c>
      <c r="I16" s="12">
        <f>ROUND(H16*0.18,0)</f>
        <v>5040</v>
      </c>
      <c r="J16" s="12">
        <f>ROUND((H16+I16)*0.02,0)</f>
        <v>661</v>
      </c>
      <c r="K16" s="12">
        <f>ROUND((H16+I16)*0.0225,0)</f>
        <v>743</v>
      </c>
      <c r="L16" s="12">
        <f>ROUND(H16*0.0225*0.02,0)</f>
        <v>13</v>
      </c>
      <c r="M16" s="12">
        <f>K16-L16</f>
        <v>731</v>
      </c>
      <c r="N16" s="12">
        <f>ROUND(H16*0.001,0)</f>
        <v>28</v>
      </c>
      <c r="O16" s="10"/>
      <c r="P16" s="12">
        <f>ROUND(H16*O16/100,0)</f>
        <v>0</v>
      </c>
      <c r="Q16" s="13">
        <f>H16+I16+J16-M16-N16-P16</f>
        <v>32944</v>
      </c>
      <c r="R16" s="12">
        <f>ROUND(H16*0.25,0)</f>
        <v>7001</v>
      </c>
      <c r="S16" s="11">
        <v>7001</v>
      </c>
      <c r="T16" t="inlineStr" s="9">
        <is>
          <t xml:space="preserve">14.08.2026</t>
        </is>
      </c>
      <c r="U16" s="12">
        <f>Q16-R16</f>
        <v>25944</v>
      </c>
      <c r="V16" s="11">
        <v>0</v>
      </c>
      <c r="W16" s="9"/>
      <c r="X16" s="13">
        <f>S16+V16</f>
        <v>7001</v>
      </c>
      <c r="Y16" s="13">
        <f>Q16-X16</f>
        <v>25944</v>
      </c>
      <c r="Z16" s="9"/>
      <c r="AA16" s="9"/>
    </row>
    <row r="17">
      <c r="A17" s="10">
        <v>2043</v>
      </c>
      <c r="B17" t="inlineStr" s="9">
        <is>
          <t xml:space="preserve">NATIONAL ENTERPRISES</t>
        </is>
      </c>
      <c r="C17" s="10">
        <v>21979</v>
      </c>
      <c r="D17" t="inlineStr" s="9">
        <is>
          <t xml:space="preserve">Scrap of 132 KV CT</t>
        </is>
      </c>
      <c r="E17" t="inlineStr" s="9">
        <is>
          <t xml:space="preserve">NO</t>
        </is>
      </c>
      <c r="F17" s="10">
        <v>5</v>
      </c>
      <c r="G17" s="10">
        <v>80000</v>
      </c>
      <c r="H17" s="12">
        <f>F17*G17</f>
        <v>400000</v>
      </c>
      <c r="I17" s="12">
        <f>ROUND(H17*0.18,0)</f>
        <v>72000</v>
      </c>
      <c r="J17" s="12">
        <f>ROUND((H17+I17)*0.02,0)</f>
        <v>9440</v>
      </c>
      <c r="K17" s="12">
        <f>ROUND((H17+I17)*0.0225,0)</f>
        <v>10620</v>
      </c>
      <c r="L17" s="12">
        <f>ROUND(H17*0.0225*0.02,0)</f>
        <v>180</v>
      </c>
      <c r="M17" s="12">
        <f>K17-L17</f>
        <v>10440</v>
      </c>
      <c r="N17" s="12">
        <f>ROUND(H17*0.001,0)</f>
        <v>400</v>
      </c>
      <c r="O17" s="10"/>
      <c r="P17" s="12">
        <f>ROUND(H17*O17/100,0)</f>
        <v>0</v>
      </c>
      <c r="Q17" s="13">
        <f>H17+I17+J17-M17-N17-P17</f>
        <v>470600</v>
      </c>
      <c r="R17" s="12">
        <f>ROUND(H17*0.25,0)</f>
        <v>100000</v>
      </c>
      <c r="S17" s="11">
        <v>100000</v>
      </c>
      <c r="T17" t="inlineStr" s="9">
        <is>
          <t xml:space="preserve">13.08.2026</t>
        </is>
      </c>
      <c r="U17" s="12">
        <f>Q17-R17</f>
        <v>370600</v>
      </c>
      <c r="V17" s="11">
        <v>0</v>
      </c>
      <c r="W17" t="inlineStr" s="9">
        <is>
          <t xml:space="preserve">13.08.2026</t>
        </is>
      </c>
      <c r="X17" s="13">
        <f>S17+V17</f>
        <v>100000</v>
      </c>
      <c r="Y17" s="13">
        <f>Q17-X17</f>
        <v>370600</v>
      </c>
      <c r="Z17" s="9"/>
      <c r="AA17" s="9"/>
    </row>
    <row r="18">
      <c r="A18" s="10">
        <v>2055</v>
      </c>
      <c r="B18" t="inlineStr" s="9">
        <is>
          <t xml:space="preserve">NATIONAL ENTERPRISES</t>
        </is>
      </c>
      <c r="C18" s="10">
        <v>21979</v>
      </c>
      <c r="D18" t="inlineStr" s="9">
        <is>
          <t xml:space="preserve">Scrap of 220 KV CT</t>
        </is>
      </c>
      <c r="E18" t="inlineStr" s="9">
        <is>
          <t xml:space="preserve">NO</t>
        </is>
      </c>
      <c r="F18" s="10">
        <v>2</v>
      </c>
      <c r="G18" s="10">
        <v>80006</v>
      </c>
      <c r="H18" s="12">
        <f>F18*G18</f>
        <v>160012</v>
      </c>
      <c r="I18" s="12">
        <f>ROUND(H18*0.18,0)</f>
        <v>28802</v>
      </c>
      <c r="J18" s="12">
        <f>ROUND((H18+I18)*0.02,0)</f>
        <v>3776</v>
      </c>
      <c r="K18" s="12">
        <f>ROUND((H18+I18)*0.0225,0)</f>
        <v>4248</v>
      </c>
      <c r="L18" s="12">
        <f>ROUND(H18*0.0225*0.02,0)</f>
        <v>72</v>
      </c>
      <c r="M18" s="12">
        <f>K18-L18</f>
        <v>4176</v>
      </c>
      <c r="N18" s="12">
        <f>ROUND(H18*0.001,0)</f>
        <v>160</v>
      </c>
      <c r="O18" s="10"/>
      <c r="P18" s="12">
        <f>ROUND(H18*O18/100,0)</f>
        <v>0</v>
      </c>
      <c r="Q18" s="13">
        <f>H18+I18+J18-M18-N18-P18</f>
        <v>188254</v>
      </c>
      <c r="R18" s="12">
        <f>ROUND(H18*0.25,0)</f>
        <v>40003</v>
      </c>
      <c r="S18" s="11">
        <v>40003</v>
      </c>
      <c r="T18" t="inlineStr" s="9">
        <is>
          <t xml:space="preserve">11.08.2026</t>
        </is>
      </c>
      <c r="U18" s="12">
        <f>Q18-R18</f>
        <v>148251</v>
      </c>
      <c r="V18" s="11">
        <v>0</v>
      </c>
      <c r="W18" t="inlineStr" s="9">
        <is>
          <t xml:space="preserve">11.08.2026</t>
        </is>
      </c>
      <c r="X18" s="13">
        <f>S18+V18</f>
        <v>40003</v>
      </c>
      <c r="Y18" s="13">
        <f>Q18-X18</f>
        <v>148251</v>
      </c>
      <c r="Z18" s="9"/>
      <c r="AA18" s="9"/>
    </row>
    <row r="19">
      <c r="A19" s="10">
        <v>2059</v>
      </c>
      <c r="B19" t="inlineStr" s="9">
        <is>
          <t xml:space="preserve">NATIONAL ENTERPRISES</t>
        </is>
      </c>
      <c r="C19" s="10">
        <v>21979</v>
      </c>
      <c r="D19" t="inlineStr" s="9">
        <is>
          <t xml:space="preserve">Scrap of 33 KV GCB</t>
        </is>
      </c>
      <c r="E19" t="inlineStr" s="9">
        <is>
          <t xml:space="preserve">NO</t>
        </is>
      </c>
      <c r="F19" s="10">
        <v>1</v>
      </c>
      <c r="G19" s="10">
        <v>29502</v>
      </c>
      <c r="H19" s="12">
        <f>F19*G19</f>
        <v>29502</v>
      </c>
      <c r="I19" s="12">
        <f>ROUND(H19*0.18,0)</f>
        <v>5310</v>
      </c>
      <c r="J19" s="12">
        <f>ROUND((H19+I19)*0.02,0)</f>
        <v>696</v>
      </c>
      <c r="K19" s="12">
        <f>ROUND((H19+I19)*0.0225,0)</f>
        <v>783</v>
      </c>
      <c r="L19" s="12">
        <f>ROUND(H19*0.0225*0.02,0)</f>
        <v>13</v>
      </c>
      <c r="M19" s="12">
        <f>K19-L19</f>
        <v>770</v>
      </c>
      <c r="N19" s="12">
        <f>ROUND(H19*0.001,0)</f>
        <v>30</v>
      </c>
      <c r="O19" s="10"/>
      <c r="P19" s="12">
        <f>ROUND(H19*O19/100,0)</f>
        <v>0</v>
      </c>
      <c r="Q19" s="13">
        <f>H19+I19+J19-M19-N19-P19</f>
        <v>34709</v>
      </c>
      <c r="R19" s="12">
        <f>ROUND(H19*0.25,0)</f>
        <v>7376</v>
      </c>
      <c r="S19" s="11">
        <v>7376</v>
      </c>
      <c r="T19" t="inlineStr" s="9">
        <is>
          <t xml:space="preserve">11.08.2026</t>
        </is>
      </c>
      <c r="U19" s="12">
        <f>Q19-R19</f>
        <v>27334</v>
      </c>
      <c r="V19" s="11">
        <v>0</v>
      </c>
      <c r="W19" t="inlineStr" s="9">
        <is>
          <t xml:space="preserve">11.08.2026</t>
        </is>
      </c>
      <c r="X19" s="13">
        <f>S19+V19</f>
        <v>7376</v>
      </c>
      <c r="Y19" s="13">
        <f>Q19-X19</f>
        <v>27333</v>
      </c>
      <c r="Z19" s="9"/>
      <c r="AA19" s="9"/>
    </row>
    <row r="20">
      <c r="A20" s="10">
        <v>2071</v>
      </c>
      <c r="B20" t="inlineStr" s="9">
        <is>
          <t xml:space="preserve">NATIONAL ENTERPRISES</t>
        </is>
      </c>
      <c r="C20" s="10">
        <v>21980</v>
      </c>
      <c r="D20" t="inlineStr" s="9">
        <is>
          <t xml:space="preserve">Scrap of 66 KV Isolater</t>
        </is>
      </c>
      <c r="E20" t="inlineStr" s="9">
        <is>
          <t xml:space="preserve">NO</t>
        </is>
      </c>
      <c r="F20" s="10">
        <v>3</v>
      </c>
      <c r="G20" s="10">
        <v>25001</v>
      </c>
      <c r="H20" s="12">
        <f>F20*G20</f>
        <v>75003</v>
      </c>
      <c r="I20" s="12">
        <f>ROUND(H20*0.18,0)</f>
        <v>13501</v>
      </c>
      <c r="J20" s="12">
        <f>ROUND((H20+I20)*0.02,0)</f>
        <v>1770</v>
      </c>
      <c r="K20" s="12">
        <f>ROUND((H20+I20)*0.0225,0)</f>
        <v>1991</v>
      </c>
      <c r="L20" s="12">
        <f>ROUND(H20*0.0225*0.02,0)</f>
        <v>34</v>
      </c>
      <c r="M20" s="12">
        <f>K20-L20</f>
        <v>1958</v>
      </c>
      <c r="N20" s="12">
        <f>ROUND(H20*0.001,0)</f>
        <v>75</v>
      </c>
      <c r="O20" s="10"/>
      <c r="P20" s="12">
        <f>ROUND(H20*O20/100,0)</f>
        <v>0</v>
      </c>
      <c r="Q20" s="13">
        <f>H20+I20+J20-M20-N20-P20</f>
        <v>88241</v>
      </c>
      <c r="R20" s="12">
        <f>ROUND(H20*0.25,0)</f>
        <v>18751</v>
      </c>
      <c r="S20" s="11">
        <v>18751</v>
      </c>
      <c r="T20" t="inlineStr" s="9">
        <is>
          <t xml:space="preserve">11.08.2026</t>
        </is>
      </c>
      <c r="U20" s="12">
        <f>Q20-R20</f>
        <v>69490</v>
      </c>
      <c r="V20" s="11">
        <v>0</v>
      </c>
      <c r="W20" s="9"/>
      <c r="X20" s="13">
        <f>S20+V20</f>
        <v>18751</v>
      </c>
      <c r="Y20" s="13">
        <f>Q20-X20</f>
        <v>69490</v>
      </c>
      <c r="Z20" s="9"/>
      <c r="AA20" s="9"/>
    </row>
    <row r="21">
      <c r="A21" s="10">
        <v>2022</v>
      </c>
      <c r="B21" t="inlineStr" s="9">
        <is>
          <t xml:space="preserve">NATIONAL SCRAP AND BUILDING MATERIAL SUPPLIER</t>
        </is>
      </c>
      <c r="C21" s="10">
        <v>21978</v>
      </c>
      <c r="D21" t="inlineStr" s="9">
        <is>
          <t xml:space="preserve">Scrap of 132 KV CT</t>
        </is>
      </c>
      <c r="E21" t="inlineStr" s="9">
        <is>
          <t xml:space="preserve">NO</t>
        </is>
      </c>
      <c r="F21" s="10">
        <v>3</v>
      </c>
      <c r="G21" s="10">
        <v>110200</v>
      </c>
      <c r="H21" s="12">
        <f>F21*G21</f>
        <v>330600</v>
      </c>
      <c r="I21" s="12">
        <f>ROUND(H21*0.18,0)</f>
        <v>59508</v>
      </c>
      <c r="J21" s="12">
        <f>ROUND((H21+I21)*0.02,0)</f>
        <v>7802</v>
      </c>
      <c r="K21" s="12">
        <f>ROUND((H21+I21)*0.0225,0)</f>
        <v>8777</v>
      </c>
      <c r="L21" s="12">
        <f>ROUND(H21*0.0225*0.02,0)</f>
        <v>149</v>
      </c>
      <c r="M21" s="12">
        <f>K21-L21</f>
        <v>8629</v>
      </c>
      <c r="N21" s="12">
        <f>ROUND(H21*0.001,0)</f>
        <v>331</v>
      </c>
      <c r="O21" s="10"/>
      <c r="P21" s="12">
        <f>ROUND(H21*O21/100,0)</f>
        <v>0</v>
      </c>
      <c r="Q21" s="13">
        <f>H21+I21+J21-M21-N21-P21</f>
        <v>388951</v>
      </c>
      <c r="R21" s="12">
        <f>ROUND(H21*0.25,0)</f>
        <v>82650</v>
      </c>
      <c r="S21" s="11">
        <v>82650</v>
      </c>
      <c r="T21" t="inlineStr" s="9">
        <is>
          <t xml:space="preserve">13.08.2026</t>
        </is>
      </c>
      <c r="U21" s="12">
        <f>Q21-R21</f>
        <v>306301</v>
      </c>
      <c r="V21" s="11">
        <v>0</v>
      </c>
      <c r="W21" s="9"/>
      <c r="X21" s="13">
        <f>S21+V21</f>
        <v>82650</v>
      </c>
      <c r="Y21" s="13">
        <f>Q21-X21</f>
        <v>306301</v>
      </c>
      <c r="Z21" s="9"/>
      <c r="AA21" s="9"/>
    </row>
    <row r="22">
      <c r="A22" s="10">
        <v>1923</v>
      </c>
      <c r="B22" t="inlineStr" s="9">
        <is>
          <t xml:space="preserve">OMKAR STEELS</t>
        </is>
      </c>
      <c r="C22" s="10">
        <v>21980</v>
      </c>
      <c r="D22" t="inlineStr" s="9">
        <is>
          <t xml:space="preserve">SCRAP ACSR CONDUCTORS (Conductor Pieces)</t>
        </is>
      </c>
      <c r="E22" t="inlineStr" s="9">
        <is>
          <t xml:space="preserve">KG</t>
        </is>
      </c>
      <c r="F22" s="10">
        <v>7253</v>
      </c>
      <c r="G22" s="10">
        <v>227</v>
      </c>
      <c r="H22" s="12">
        <f>F22*G22</f>
        <v>1646431</v>
      </c>
      <c r="I22" s="12">
        <f>ROUND(H22*0.18,0)</f>
        <v>296358</v>
      </c>
      <c r="J22" s="12">
        <f>ROUND((H22+I22)*0.02,0)</f>
        <v>38856</v>
      </c>
      <c r="K22" s="12">
        <f>ROUND((H22+I22)*0.0225,0)</f>
        <v>43713</v>
      </c>
      <c r="L22" s="12">
        <f>ROUND(H22*0.0225*0.02,0)</f>
        <v>741</v>
      </c>
      <c r="M22" s="12">
        <f>K22-L22</f>
        <v>42972</v>
      </c>
      <c r="N22" s="12">
        <f>ROUND(H22*0.001,0)</f>
        <v>1646</v>
      </c>
      <c r="O22" s="10"/>
      <c r="P22" s="12">
        <f>ROUND(H22*O22/100,0)</f>
        <v>32929</v>
      </c>
      <c r="Q22" s="13">
        <f>H22+I22+J22-M22-N22-P22</f>
        <v>1904097</v>
      </c>
      <c r="R22" s="12">
        <f>ROUND(H22*0.25,0)</f>
        <v>411608</v>
      </c>
      <c r="S22" s="11">
        <v>411608</v>
      </c>
      <c r="T22" t="inlineStr" s="9">
        <is>
          <t xml:space="preserve">17.08.2026</t>
        </is>
      </c>
      <c r="U22" s="12">
        <f>Q22-R22</f>
        <v>1492489</v>
      </c>
      <c r="V22" s="11">
        <v>0</v>
      </c>
      <c r="W22" t="inlineStr" s="9">
        <is>
          <t xml:space="preserve">17.08.2026</t>
        </is>
      </c>
      <c r="X22" s="13">
        <f>S22+V22</f>
        <v>411608</v>
      </c>
      <c r="Y22" s="13">
        <f>Q22-X22</f>
        <v>1492489</v>
      </c>
      <c r="Z22" s="9"/>
      <c r="AA22" s="9"/>
    </row>
    <row r="23">
      <c r="A23" s="10">
        <v>2020</v>
      </c>
      <c r="B23" t="inlineStr" s="9">
        <is>
          <t xml:space="preserve">OMKAR STEELS</t>
        </is>
      </c>
      <c r="C23" s="10">
        <v>21978</v>
      </c>
      <c r="D23" t="inlineStr" s="9">
        <is>
          <t xml:space="preserve">SCRAP 80MM² AAAC EARTHWIRE</t>
        </is>
      </c>
      <c r="E23" t="inlineStr" s="9">
        <is>
          <t xml:space="preserve">KG</t>
        </is>
      </c>
      <c r="F23" s="10">
        <v>3500</v>
      </c>
      <c r="G23" s="10">
        <v>333</v>
      </c>
      <c r="H23" s="12">
        <f>F23*G23</f>
        <v>1165500</v>
      </c>
      <c r="I23" s="12">
        <f>ROUND(H23*0.18,0)</f>
        <v>209790</v>
      </c>
      <c r="J23" s="12">
        <f>ROUND((H23+I23)*0.02,0)</f>
        <v>27506</v>
      </c>
      <c r="K23" s="12">
        <f>ROUND((H23+I23)*0.0225,0)</f>
        <v>30944</v>
      </c>
      <c r="L23" s="12">
        <f>ROUND(H23*0.0225*0.02,0)</f>
        <v>524</v>
      </c>
      <c r="M23" s="12">
        <f>K23-L23</f>
        <v>30420</v>
      </c>
      <c r="N23" s="12">
        <f>ROUND(H23*0.001,0)</f>
        <v>1166</v>
      </c>
      <c r="O23" s="10"/>
      <c r="P23" s="12">
        <f>ROUND(H23*O23/100,0)</f>
        <v>23310</v>
      </c>
      <c r="Q23" s="13">
        <f>H23+I23+J23-M23-N23-P23</f>
        <v>1347901</v>
      </c>
      <c r="R23" s="12">
        <f>ROUND(H23*0.25,0)</f>
        <v>291375</v>
      </c>
      <c r="S23" s="11">
        <v>291375</v>
      </c>
      <c r="T23" t="inlineStr" s="9">
        <is>
          <t xml:space="preserve">13.08.2026</t>
        </is>
      </c>
      <c r="U23" s="12">
        <f>Q23-R23</f>
        <v>1056526</v>
      </c>
      <c r="V23" s="11">
        <v>1056525</v>
      </c>
      <c r="W23" s="9"/>
      <c r="X23" s="13">
        <f>S23+V23</f>
        <v>1347900</v>
      </c>
      <c r="Y23" s="13">
        <f>Q23-X23</f>
        <v>1</v>
      </c>
      <c r="Z23" s="9"/>
      <c r="AA23" s="9"/>
    </row>
    <row r="24">
      <c r="A24" s="10">
        <v>2089</v>
      </c>
      <c r="B24" t="inlineStr" s="9">
        <is>
          <t xml:space="preserve">S M ENTERPRISES</t>
        </is>
      </c>
      <c r="C24" s="10">
        <v>21980</v>
      </c>
      <c r="D24" t="inlineStr" s="9">
        <is>
          <t xml:space="preserve">Scrap of 66 kv TBC C &amp; R Panel</t>
        </is>
      </c>
      <c r="E24" t="inlineStr" s="9">
        <is>
          <t xml:space="preserve">NO</t>
        </is>
      </c>
      <c r="F24" s="10">
        <v>2</v>
      </c>
      <c r="G24" s="10">
        <v>15006</v>
      </c>
      <c r="H24" s="12">
        <f>F24*G24</f>
        <v>30012</v>
      </c>
      <c r="I24" s="12">
        <f>ROUND(H24*0.18,0)</f>
        <v>5402</v>
      </c>
      <c r="J24" s="12">
        <f>ROUND((H24+I24)*0.02,0)</f>
        <v>708</v>
      </c>
      <c r="K24" s="12">
        <f>ROUND((H24+I24)*0.0225,0)</f>
        <v>797</v>
      </c>
      <c r="L24" s="12">
        <f>ROUND(H24*0.0225*0.02,0)</f>
        <v>14</v>
      </c>
      <c r="M24" s="12">
        <f>K24-L24</f>
        <v>783</v>
      </c>
      <c r="N24" s="12">
        <f>ROUND(H24*0.001,0)</f>
        <v>30</v>
      </c>
      <c r="O24" s="10"/>
      <c r="P24" s="12">
        <f>ROUND(H24*O24/100,0)</f>
        <v>0</v>
      </c>
      <c r="Q24" s="13">
        <f>H24+I24+J24-M24-N24-P24</f>
        <v>35309</v>
      </c>
      <c r="R24" s="12">
        <f>ROUND(H24*0.25,0)</f>
        <v>7503</v>
      </c>
      <c r="S24" s="11">
        <v>7503</v>
      </c>
      <c r="T24" t="inlineStr" s="9">
        <is>
          <t xml:space="preserve">14.08.2026</t>
        </is>
      </c>
      <c r="U24" s="12">
        <f>Q24-R24</f>
        <v>27806</v>
      </c>
      <c r="V24" s="11">
        <v>0</v>
      </c>
      <c r="W24" s="9"/>
      <c r="X24" s="13">
        <f>S24+V24</f>
        <v>7503</v>
      </c>
      <c r="Y24" s="13">
        <f>Q24-X24</f>
        <v>27806</v>
      </c>
      <c r="Z24" s="9"/>
      <c r="AA24" s="9"/>
    </row>
    <row r="25">
      <c r="A25" s="10">
        <v>2091</v>
      </c>
      <c r="B25" t="inlineStr" s="9">
        <is>
          <t xml:space="preserve">S M ENTERPRISES</t>
        </is>
      </c>
      <c r="C25" s="10">
        <v>21980</v>
      </c>
      <c r="D25" t="inlineStr" s="9">
        <is>
          <t xml:space="preserve">Scrap of 132 KV CT</t>
        </is>
      </c>
      <c r="E25" t="inlineStr" s="9">
        <is>
          <t xml:space="preserve">NO</t>
        </is>
      </c>
      <c r="F25" s="10">
        <v>3</v>
      </c>
      <c r="G25" s="10">
        <v>40003</v>
      </c>
      <c r="H25" s="12">
        <f>F25*G25</f>
        <v>120009</v>
      </c>
      <c r="I25" s="12">
        <f>ROUND(H25*0.18,0)</f>
        <v>21602</v>
      </c>
      <c r="J25" s="12">
        <f>ROUND((H25+I25)*0.02,0)</f>
        <v>2832</v>
      </c>
      <c r="K25" s="12">
        <f>ROUND((H25+I25)*0.0225,0)</f>
        <v>3186</v>
      </c>
      <c r="L25" s="12">
        <f>ROUND(H25*0.0225*0.02,0)</f>
        <v>54</v>
      </c>
      <c r="M25" s="12">
        <f>K25-L25</f>
        <v>3132</v>
      </c>
      <c r="N25" s="12">
        <f>ROUND(H25*0.001,0)</f>
        <v>120</v>
      </c>
      <c r="O25" s="10"/>
      <c r="P25" s="12">
        <f>ROUND(H25*O25/100,0)</f>
        <v>0</v>
      </c>
      <c r="Q25" s="13">
        <f>H25+I25+J25-M25-N25-P25</f>
        <v>141191</v>
      </c>
      <c r="R25" s="12">
        <f>ROUND(H25*0.25,0)</f>
        <v>30002</v>
      </c>
      <c r="S25" s="11">
        <v>30002</v>
      </c>
      <c r="T25" t="inlineStr" s="9">
        <is>
          <t xml:space="preserve">14.08.2026</t>
        </is>
      </c>
      <c r="U25" s="12">
        <f>Q25-R25</f>
        <v>111188</v>
      </c>
      <c r="V25" s="11">
        <v>0</v>
      </c>
      <c r="W25" s="9"/>
      <c r="X25" s="13">
        <f>S25+V25</f>
        <v>30002</v>
      </c>
      <c r="Y25" s="13">
        <f>Q25-X25</f>
        <v>111189</v>
      </c>
      <c r="Z25" s="9"/>
      <c r="AA25" s="9"/>
    </row>
    <row r="26">
      <c r="A26" s="10">
        <v>2046</v>
      </c>
      <c r="B26" t="inlineStr" s="9">
        <is>
          <t xml:space="preserve">SAHARA ENTERPRISES</t>
        </is>
      </c>
      <c r="C26" s="10">
        <v>21979</v>
      </c>
      <c r="D26" t="inlineStr" s="9">
        <is>
          <t xml:space="preserve">Scrap of AAAC Earth wire</t>
        </is>
      </c>
      <c r="E26" t="inlineStr" s="9">
        <is>
          <t xml:space="preserve">KG</t>
        </is>
      </c>
      <c r="F26" s="10">
        <v>670</v>
      </c>
      <c r="G26" s="10">
        <v>309</v>
      </c>
      <c r="H26" s="12">
        <f>F26*G26</f>
        <v>207030</v>
      </c>
      <c r="I26" s="12">
        <f>ROUND(H26*0.18,0)</f>
        <v>37265</v>
      </c>
      <c r="J26" s="12">
        <f>ROUND((H26+I26)*0.02,0)</f>
        <v>4886</v>
      </c>
      <c r="K26" s="12">
        <f>ROUND((H26+I26)*0.0225,0)</f>
        <v>5497</v>
      </c>
      <c r="L26" s="12">
        <f>ROUND(H26*0.0225*0.02,0)</f>
        <v>93</v>
      </c>
      <c r="M26" s="12">
        <f>K26-L26</f>
        <v>5403</v>
      </c>
      <c r="N26" s="12">
        <f>ROUND(H26*0.001,0)</f>
        <v>207</v>
      </c>
      <c r="O26" s="10"/>
      <c r="P26" s="12">
        <f>ROUND(H26*O26/100,0)</f>
        <v>4141</v>
      </c>
      <c r="Q26" s="13">
        <f>H26+I26+J26-M26-N26-P26</f>
        <v>239430</v>
      </c>
      <c r="R26" s="12">
        <f>ROUND(H26*0.25,0)</f>
        <v>51758</v>
      </c>
      <c r="S26" s="11">
        <v>51758</v>
      </c>
      <c r="T26" t="inlineStr" s="9">
        <is>
          <t xml:space="preserve">11.08.2026</t>
        </is>
      </c>
      <c r="U26" s="12">
        <f>Q26-R26</f>
        <v>187672</v>
      </c>
      <c r="V26" s="11">
        <v>0</v>
      </c>
      <c r="W26" t="inlineStr" s="9">
        <is>
          <t xml:space="preserve">11.08.2026</t>
        </is>
      </c>
      <c r="X26" s="13">
        <f>S26+V26</f>
        <v>51758</v>
      </c>
      <c r="Y26" s="13">
        <f>Q26-X26</f>
        <v>187672</v>
      </c>
      <c r="Z26" s="9"/>
      <c r="AA26" s="9"/>
    </row>
    <row r="27">
      <c r="A27" s="10">
        <v>1976</v>
      </c>
      <c r="B27" t="inlineStr" s="9">
        <is>
          <t xml:space="preserve">SHAR JAHAN TRADERS</t>
        </is>
      </c>
      <c r="C27" s="10">
        <v>21977</v>
      </c>
      <c r="D27" t="inlineStr" s="9">
        <is>
          <t xml:space="preserve">Scrap Power Transformer</t>
        </is>
      </c>
      <c r="E27" t="inlineStr" s="9">
        <is>
          <t xml:space="preserve">NO</t>
        </is>
      </c>
      <c r="F27" s="10">
        <v>1</v>
      </c>
      <c r="G27" s="10">
        <v>2787314</v>
      </c>
      <c r="H27" s="12">
        <f>F27*G27</f>
        <v>2787314</v>
      </c>
      <c r="I27" s="12">
        <f>ROUND(H27*0.18,0)</f>
        <v>501717</v>
      </c>
      <c r="J27" s="12">
        <f>ROUND((H27+I27)*0.02,0)</f>
        <v>65781</v>
      </c>
      <c r="K27" s="12">
        <f>ROUND((H27+I27)*0.0225,0)</f>
        <v>74003</v>
      </c>
      <c r="L27" s="12">
        <f>ROUND(H27*0.0225*0.02,0)</f>
        <v>1254</v>
      </c>
      <c r="M27" s="12">
        <f>K27-L27</f>
        <v>72749</v>
      </c>
      <c r="N27" s="12">
        <f>ROUND(H27*0.001,0)</f>
        <v>2787</v>
      </c>
      <c r="O27" s="10"/>
      <c r="P27" s="12">
        <f>ROUND(H27*O27/100,0)</f>
        <v>0</v>
      </c>
      <c r="Q27" s="13">
        <f>H27+I27+J27-M27-N27-P27</f>
        <v>3279275</v>
      </c>
      <c r="R27" s="12">
        <f>ROUND(H27*0.25,0)</f>
        <v>696829</v>
      </c>
      <c r="S27" s="11">
        <v>696829</v>
      </c>
      <c r="T27" t="inlineStr" s="9">
        <is>
          <t xml:space="preserve">14.08.2026</t>
        </is>
      </c>
      <c r="U27" s="12">
        <f>Q27-R27</f>
        <v>2582446</v>
      </c>
      <c r="V27" s="11">
        <v>2582447</v>
      </c>
      <c r="W27" s="9"/>
      <c r="X27" s="13">
        <f>S27+V27</f>
        <v>3279276</v>
      </c>
      <c r="Y27" s="13">
        <f>Q27-X27</f>
        <v>-1</v>
      </c>
      <c r="Z27" s="9"/>
      <c r="AA27" s="9"/>
    </row>
    <row r="28">
      <c r="A28" s="10">
        <v>2007</v>
      </c>
      <c r="B28" t="inlineStr" s="9">
        <is>
          <t xml:space="preserve">SHAR JAHAN TRADERS</t>
        </is>
      </c>
      <c r="C28" s="10">
        <v>21977</v>
      </c>
      <c r="D28" t="inlineStr" s="9">
        <is>
          <t xml:space="preserve">SCRAP POWER TRANSFORMER</t>
        </is>
      </c>
      <c r="E28" t="inlineStr" s="9">
        <is>
          <t xml:space="preserve">NO</t>
        </is>
      </c>
      <c r="F28" s="10">
        <v>1</v>
      </c>
      <c r="G28" s="10">
        <v>3857116</v>
      </c>
      <c r="H28" s="12">
        <f>F28*G28</f>
        <v>3857116</v>
      </c>
      <c r="I28" s="12">
        <f>ROUND(H28*0.18,0)</f>
        <v>694281</v>
      </c>
      <c r="J28" s="12">
        <f>ROUND((H28+I28)*0.02,0)</f>
        <v>91028</v>
      </c>
      <c r="K28" s="12">
        <f>ROUND((H28+I28)*0.0225,0)</f>
        <v>102406</v>
      </c>
      <c r="L28" s="12">
        <f>ROUND(H28*0.0225*0.02,0)</f>
        <v>1736</v>
      </c>
      <c r="M28" s="12">
        <f>K28-L28</f>
        <v>100671</v>
      </c>
      <c r="N28" s="12">
        <f>ROUND(H28*0.001,0)</f>
        <v>3857</v>
      </c>
      <c r="O28" s="10"/>
      <c r="P28" s="12">
        <f>ROUND(H28*O28/100,0)</f>
        <v>0</v>
      </c>
      <c r="Q28" s="13">
        <f>H28+I28+J28-M28-N28-P28</f>
        <v>4537897</v>
      </c>
      <c r="R28" s="12">
        <f>ROUND(H28*0.25,0)</f>
        <v>964279</v>
      </c>
      <c r="S28" s="11">
        <v>964279</v>
      </c>
      <c r="T28" t="inlineStr" s="9">
        <is>
          <t xml:space="preserve">13.08.2026</t>
        </is>
      </c>
      <c r="U28" s="12">
        <f>Q28-R28</f>
        <v>3573618</v>
      </c>
      <c r="V28" s="11">
        <v>3573619</v>
      </c>
      <c r="W28" s="9"/>
      <c r="X28" s="13">
        <f>S28+V28</f>
        <v>4537898</v>
      </c>
      <c r="Y28" s="13">
        <f>Q28-X28</f>
        <v>-1</v>
      </c>
      <c r="Z28" s="9"/>
      <c r="AA28" s="9"/>
    </row>
    <row r="29">
      <c r="A29" s="10">
        <v>2006</v>
      </c>
      <c r="B29" t="inlineStr" s="9">
        <is>
          <t xml:space="preserve">STERLING ENTERPRISES</t>
        </is>
      </c>
      <c r="C29" s="10">
        <v>21977</v>
      </c>
      <c r="D29" t="inlineStr" s="9">
        <is>
          <t xml:space="preserve">Scrap of empty oil drums</t>
        </is>
      </c>
      <c r="E29" t="inlineStr" s="9">
        <is>
          <t xml:space="preserve">NO</t>
        </is>
      </c>
      <c r="F29" s="10">
        <v>25</v>
      </c>
      <c r="G29" s="10">
        <v>700</v>
      </c>
      <c r="H29" s="12">
        <f>F29*G29</f>
        <v>17500</v>
      </c>
      <c r="I29" s="12">
        <f>ROUND(H29*0.18,0)</f>
        <v>3150</v>
      </c>
      <c r="J29" s="12">
        <f>ROUND((H29+I29)*0.02,0)</f>
        <v>413</v>
      </c>
      <c r="K29" s="12">
        <f>ROUND((H29+I29)*0.0225,0)</f>
        <v>465</v>
      </c>
      <c r="L29" s="12">
        <f>ROUND(H29*0.0225*0.02,0)</f>
        <v>8</v>
      </c>
      <c r="M29" s="12">
        <f>K29-L29</f>
        <v>457</v>
      </c>
      <c r="N29" s="12">
        <f>ROUND(H29*0.001,0)</f>
        <v>18</v>
      </c>
      <c r="O29" s="10"/>
      <c r="P29" s="12">
        <f>ROUND(H29*O29/100,0)</f>
        <v>0</v>
      </c>
      <c r="Q29" s="13">
        <f>H29+I29+J29-M29-N29-P29</f>
        <v>20589</v>
      </c>
      <c r="R29" s="12">
        <f>ROUND(H29*0.25,0)</f>
        <v>4375</v>
      </c>
      <c r="S29" s="11">
        <v>4375</v>
      </c>
      <c r="T29" t="inlineStr" s="9">
        <is>
          <t xml:space="preserve">13.08.2026</t>
        </is>
      </c>
      <c r="U29" s="12">
        <f>Q29-R29</f>
        <v>16214</v>
      </c>
      <c r="V29" s="11">
        <v>16214</v>
      </c>
      <c r="W29" s="9"/>
      <c r="X29" s="13">
        <f>S29+V29</f>
        <v>20589</v>
      </c>
      <c r="Y29" s="13">
        <f>Q29-X29</f>
        <v>0</v>
      </c>
      <c r="Z29" s="9"/>
      <c r="AA29" s="9"/>
    </row>
    <row r="30">
      <c r="A30" s="10">
        <v>2011</v>
      </c>
      <c r="B30" t="inlineStr" s="9">
        <is>
          <t xml:space="preserve">STERLING ENTERPRISES</t>
        </is>
      </c>
      <c r="C30" s="10">
        <v>21977</v>
      </c>
      <c r="D30" t="inlineStr" s="9">
        <is>
          <t xml:space="preserve">Scrap of empty oil Barrel</t>
        </is>
      </c>
      <c r="E30" t="inlineStr" s="9">
        <is>
          <t xml:space="preserve">NO</t>
        </is>
      </c>
      <c r="F30" s="10">
        <v>22</v>
      </c>
      <c r="G30" s="10">
        <v>700</v>
      </c>
      <c r="H30" s="12">
        <f>F30*G30</f>
        <v>15400</v>
      </c>
      <c r="I30" s="12">
        <f>ROUND(H30*0.18,0)</f>
        <v>2772</v>
      </c>
      <c r="J30" s="12">
        <f>ROUND((H30+I30)*0.02,0)</f>
        <v>363</v>
      </c>
      <c r="K30" s="12">
        <f>ROUND((H30+I30)*0.0225,0)</f>
        <v>409</v>
      </c>
      <c r="L30" s="12">
        <f>ROUND(H30*0.0225*0.02,0)</f>
        <v>7</v>
      </c>
      <c r="M30" s="12">
        <f>K30-L30</f>
        <v>402</v>
      </c>
      <c r="N30" s="12">
        <f>ROUND(H30*0.001,0)</f>
        <v>15</v>
      </c>
      <c r="O30" s="10"/>
      <c r="P30" s="12">
        <f>ROUND(H30*O30/100,0)</f>
        <v>0</v>
      </c>
      <c r="Q30" s="13">
        <f>H30+I30+J30-M30-N30-P30</f>
        <v>18118</v>
      </c>
      <c r="R30" s="12">
        <f>ROUND(H30*0.25,0)</f>
        <v>3850</v>
      </c>
      <c r="S30" s="11">
        <v>3850</v>
      </c>
      <c r="T30" t="inlineStr" s="9">
        <is>
          <t xml:space="preserve">13.08.2026</t>
        </is>
      </c>
      <c r="U30" s="12">
        <f>Q30-R30</f>
        <v>14268</v>
      </c>
      <c r="V30" s="11">
        <v>14267</v>
      </c>
      <c r="W30" s="9"/>
      <c r="X30" s="13">
        <f>S30+V30</f>
        <v>18117</v>
      </c>
      <c r="Y30" s="13">
        <f>Q30-X30</f>
        <v>1</v>
      </c>
      <c r="Z30" s="9"/>
      <c r="AA30" s="9"/>
    </row>
    <row r="31">
      <c r="A31" s="10">
        <v>2015</v>
      </c>
      <c r="B31" t="inlineStr" s="9">
        <is>
          <t xml:space="preserve">STERLING ENTERPRISES</t>
        </is>
      </c>
      <c r="C31" s="10">
        <v>21978</v>
      </c>
      <c r="D31" t="inlineStr" s="9">
        <is>
          <t xml:space="preserve">Scrap of empty oil Barrels</t>
        </is>
      </c>
      <c r="E31" t="inlineStr" s="9">
        <is>
          <t xml:space="preserve">NO</t>
        </is>
      </c>
      <c r="F31" s="10">
        <v>100</v>
      </c>
      <c r="G31" s="10">
        <v>710</v>
      </c>
      <c r="H31" s="12">
        <f>F31*G31</f>
        <v>71000</v>
      </c>
      <c r="I31" s="12">
        <f>ROUND(H31*0.18,0)</f>
        <v>12780</v>
      </c>
      <c r="J31" s="12">
        <f>ROUND((H31+I31)*0.02,0)</f>
        <v>1676</v>
      </c>
      <c r="K31" s="12">
        <f>ROUND((H31+I31)*0.0225,0)</f>
        <v>1885</v>
      </c>
      <c r="L31" s="12">
        <f>ROUND(H31*0.0225*0.02,0)</f>
        <v>32</v>
      </c>
      <c r="M31" s="12">
        <f>K31-L31</f>
        <v>1853</v>
      </c>
      <c r="N31" s="12">
        <f>ROUND(H31*0.001,0)</f>
        <v>71</v>
      </c>
      <c r="O31" s="10"/>
      <c r="P31" s="12">
        <f>ROUND(H31*O31/100,0)</f>
        <v>0</v>
      </c>
      <c r="Q31" s="13">
        <f>H31+I31+J31-M31-N31-P31</f>
        <v>83532</v>
      </c>
      <c r="R31" s="12">
        <f>ROUND(H31*0.25,0)</f>
        <v>17750</v>
      </c>
      <c r="S31" s="11">
        <v>17750</v>
      </c>
      <c r="T31" t="inlineStr" s="9">
        <is>
          <t xml:space="preserve">13.08.2026</t>
        </is>
      </c>
      <c r="U31" s="12">
        <f>Q31-R31</f>
        <v>65782</v>
      </c>
      <c r="V31" s="11">
        <v>65782</v>
      </c>
      <c r="W31" s="9"/>
      <c r="X31" s="13">
        <f>S31+V31</f>
        <v>83532</v>
      </c>
      <c r="Y31" s="13">
        <f>Q31-X31</f>
        <v>1</v>
      </c>
      <c r="Z31" s="9"/>
      <c r="AA31" s="9"/>
    </row>
    <row r="32">
      <c r="A32" s="10">
        <v>2025</v>
      </c>
      <c r="B32" t="inlineStr" s="9">
        <is>
          <t xml:space="preserve">STERLING ENTERPRISES</t>
        </is>
      </c>
      <c r="C32" s="10">
        <v>21978</v>
      </c>
      <c r="D32" t="inlineStr" s="9">
        <is>
          <t xml:space="preserve">Scrap of empty oil Barrels</t>
        </is>
      </c>
      <c r="E32" t="inlineStr" s="9">
        <is>
          <t xml:space="preserve">NO</t>
        </is>
      </c>
      <c r="F32" s="10">
        <v>90</v>
      </c>
      <c r="G32" s="10">
        <v>700</v>
      </c>
      <c r="H32" s="12">
        <f>F32*G32</f>
        <v>63000</v>
      </c>
      <c r="I32" s="12">
        <f>ROUND(H32*0.18,0)</f>
        <v>11340</v>
      </c>
      <c r="J32" s="12">
        <f>ROUND((H32+I32)*0.02,0)</f>
        <v>1487</v>
      </c>
      <c r="K32" s="12">
        <f>ROUND((H32+I32)*0.0225,0)</f>
        <v>1673</v>
      </c>
      <c r="L32" s="12">
        <f>ROUND(H32*0.0225*0.02,0)</f>
        <v>28</v>
      </c>
      <c r="M32" s="12">
        <f>K32-L32</f>
        <v>1644</v>
      </c>
      <c r="N32" s="12">
        <f>ROUND(H32*0.001,0)</f>
        <v>63</v>
      </c>
      <c r="O32" s="10"/>
      <c r="P32" s="12">
        <f>ROUND(H32*O32/100,0)</f>
        <v>0</v>
      </c>
      <c r="Q32" s="13">
        <f>H32+I32+J32-M32-N32-P32</f>
        <v>74120</v>
      </c>
      <c r="R32" s="12">
        <f>ROUND(H32*0.25,0)</f>
        <v>15750</v>
      </c>
      <c r="S32" s="11">
        <v>15750</v>
      </c>
      <c r="T32" t="inlineStr" s="9">
        <is>
          <t xml:space="preserve">14.08.2026</t>
        </is>
      </c>
      <c r="U32" s="12">
        <f>Q32-R32</f>
        <v>58370</v>
      </c>
      <c r="V32" s="11">
        <v>58419</v>
      </c>
      <c r="W32" s="9"/>
      <c r="X32" s="13">
        <f>S32+V32</f>
        <v>74169</v>
      </c>
      <c r="Y32" s="13">
        <f>Q32-X32</f>
        <v>-49</v>
      </c>
      <c r="Z32" s="9"/>
      <c r="AA32" s="9"/>
    </row>
    <row r="33">
      <c r="A33" s="10">
        <v>2040</v>
      </c>
      <c r="B33" t="inlineStr" s="9">
        <is>
          <t xml:space="preserve">STERLING ENTERPRISES</t>
        </is>
      </c>
      <c r="C33" s="10">
        <v>21978</v>
      </c>
      <c r="D33" t="inlineStr" s="9">
        <is>
          <t xml:space="preserve">Scrap of 33 KV CT</t>
        </is>
      </c>
      <c r="E33" t="inlineStr" s="9">
        <is>
          <t xml:space="preserve">NO</t>
        </is>
      </c>
      <c r="F33" s="10">
        <v>3</v>
      </c>
      <c r="G33" s="10">
        <v>90002</v>
      </c>
      <c r="H33" s="12">
        <f>F33*G33</f>
        <v>270006</v>
      </c>
      <c r="I33" s="12">
        <f>ROUND(H33*0.18,0)</f>
        <v>48601</v>
      </c>
      <c r="J33" s="12">
        <f>ROUND((H33+I33)*0.02,0)</f>
        <v>6372</v>
      </c>
      <c r="K33" s="12">
        <f>ROUND((H33+I33)*0.0225,0)</f>
        <v>7169</v>
      </c>
      <c r="L33" s="12">
        <f>ROUND(H33*0.0225*0.02,0)</f>
        <v>122</v>
      </c>
      <c r="M33" s="12">
        <f>K33-L33</f>
        <v>7047</v>
      </c>
      <c r="N33" s="12">
        <f>ROUND(H33*0.001,0)</f>
        <v>270</v>
      </c>
      <c r="O33" s="10"/>
      <c r="P33" s="12">
        <f>ROUND(H33*O33/100,0)</f>
        <v>0</v>
      </c>
      <c r="Q33" s="13">
        <f>H33+I33+J33-M33-N33-P33</f>
        <v>317662</v>
      </c>
      <c r="R33" s="12">
        <f>ROUND(H33*0.25,0)</f>
        <v>67502</v>
      </c>
      <c r="S33" s="11">
        <v>67502</v>
      </c>
      <c r="T33" t="inlineStr" s="9">
        <is>
          <t xml:space="preserve">13.08.2026</t>
        </is>
      </c>
      <c r="U33" s="12">
        <f>Q33-R33</f>
        <v>250161</v>
      </c>
      <c r="V33" s="11">
        <v>0</v>
      </c>
      <c r="W33" t="inlineStr" s="9">
        <is>
          <t xml:space="preserve">13.08.2026</t>
        </is>
      </c>
      <c r="X33" s="13">
        <f>S33+V33</f>
        <v>67502</v>
      </c>
      <c r="Y33" s="13">
        <f>Q33-X33</f>
        <v>250160</v>
      </c>
      <c r="Z33" s="9"/>
      <c r="AA33" s="9"/>
    </row>
    <row r="34">
      <c r="A34" s="10">
        <v>2062</v>
      </c>
      <c r="B34" t="inlineStr" s="9">
        <is>
          <t xml:space="preserve">STERLING ENTERPRISES</t>
        </is>
      </c>
      <c r="C34" s="10">
        <v>21979</v>
      </c>
      <c r="D34" t="inlineStr" s="9">
        <is>
          <t xml:space="preserve">Scrap of Empty oil Barrels</t>
        </is>
      </c>
      <c r="E34" t="inlineStr" s="9">
        <is>
          <t xml:space="preserve">NO</t>
        </is>
      </c>
      <c r="F34" s="10">
        <v>30</v>
      </c>
      <c r="G34" s="10">
        <v>702</v>
      </c>
      <c r="H34" s="12">
        <f>F34*G34</f>
        <v>21060</v>
      </c>
      <c r="I34" s="12">
        <f>ROUND(H34*0.18,0)</f>
        <v>3791</v>
      </c>
      <c r="J34" s="12">
        <f>ROUND((H34+I34)*0.02,0)</f>
        <v>497</v>
      </c>
      <c r="K34" s="12">
        <f>ROUND((H34+I34)*0.0225,0)</f>
        <v>559</v>
      </c>
      <c r="L34" s="12">
        <f>ROUND(H34*0.0225*0.02,0)</f>
        <v>9</v>
      </c>
      <c r="M34" s="12">
        <f>K34-L34</f>
        <v>550</v>
      </c>
      <c r="N34" s="12">
        <f>ROUND(H34*0.001,0)</f>
        <v>21</v>
      </c>
      <c r="O34" s="10"/>
      <c r="P34" s="12">
        <f>ROUND(H34*O34/100,0)</f>
        <v>0</v>
      </c>
      <c r="Q34" s="13">
        <f>H34+I34+J34-M34-N34-P34</f>
        <v>24777</v>
      </c>
      <c r="R34" s="12">
        <f>ROUND(H34*0.25,0)</f>
        <v>5265</v>
      </c>
      <c r="S34" s="11">
        <v>5265</v>
      </c>
      <c r="T34" t="inlineStr" s="9">
        <is>
          <t xml:space="preserve">11.08.2026</t>
        </is>
      </c>
      <c r="U34" s="12">
        <f>Q34-R34</f>
        <v>19512</v>
      </c>
      <c r="V34" s="11">
        <v>19512</v>
      </c>
      <c r="W34" t="inlineStr" s="9">
        <is>
          <t xml:space="preserve">11.08.2026</t>
        </is>
      </c>
      <c r="X34" s="13">
        <f>S34+V34</f>
        <v>24777</v>
      </c>
      <c r="Y34" s="13">
        <f>Q34-X34</f>
        <v>0</v>
      </c>
      <c r="Z34" s="9"/>
      <c r="AA34" s="9"/>
    </row>
    <row r="35">
      <c r="A35" s="10">
        <v>2069</v>
      </c>
      <c r="B35" t="inlineStr" s="9">
        <is>
          <t xml:space="preserve">STERLING ENTERPRISES</t>
        </is>
      </c>
      <c r="C35" s="10">
        <v>21980</v>
      </c>
      <c r="D35" t="inlineStr" s="9">
        <is>
          <t xml:space="preserve">Scrap of 33 KV CB</t>
        </is>
      </c>
      <c r="E35" t="inlineStr" s="9">
        <is>
          <t xml:space="preserve">NO</t>
        </is>
      </c>
      <c r="F35" s="10">
        <v>1</v>
      </c>
      <c r="G35" s="10">
        <v>54000</v>
      </c>
      <c r="H35" s="12">
        <f>F35*G35</f>
        <v>54000</v>
      </c>
      <c r="I35" s="12">
        <f>ROUND(H35*0.18,0)</f>
        <v>9720</v>
      </c>
      <c r="J35" s="12">
        <f>ROUND((H35+I35)*0.02,0)</f>
        <v>1274</v>
      </c>
      <c r="K35" s="12">
        <f>ROUND((H35+I35)*0.0225,0)</f>
        <v>1434</v>
      </c>
      <c r="L35" s="12">
        <f>ROUND(H35*0.0225*0.02,0)</f>
        <v>24</v>
      </c>
      <c r="M35" s="12">
        <f>K35-L35</f>
        <v>1409</v>
      </c>
      <c r="N35" s="12">
        <f>ROUND(H35*0.001,0)</f>
        <v>54</v>
      </c>
      <c r="O35" s="10"/>
      <c r="P35" s="12">
        <f>ROUND(H35*O35/100,0)</f>
        <v>0</v>
      </c>
      <c r="Q35" s="13">
        <f>H35+I35+J35-M35-N35-P35</f>
        <v>63531</v>
      </c>
      <c r="R35" s="12">
        <f>ROUND(H35*0.25,0)</f>
        <v>13500</v>
      </c>
      <c r="S35" s="11">
        <v>13500</v>
      </c>
      <c r="T35" t="inlineStr" s="9">
        <is>
          <t xml:space="preserve">11.08.2026</t>
        </is>
      </c>
      <c r="U35" s="12">
        <f>Q35-R35</f>
        <v>50031</v>
      </c>
      <c r="V35" s="11">
        <v>0</v>
      </c>
      <c r="W35" t="inlineStr" s="9">
        <is>
          <t xml:space="preserve">11.08.2026</t>
        </is>
      </c>
      <c r="X35" s="13">
        <f>S35+V35</f>
        <v>13500</v>
      </c>
      <c r="Y35" s="13">
        <f>Q35-X35</f>
        <v>50031</v>
      </c>
      <c r="Z35" s="9"/>
      <c r="AA35" s="9"/>
    </row>
    <row r="36">
      <c r="A36" s="10">
        <v>2033</v>
      </c>
      <c r="B36" t="inlineStr" s="9">
        <is>
          <t xml:space="preserve">WATAN SCRAP TRADERS</t>
        </is>
      </c>
      <c r="C36" s="10">
        <v>21978</v>
      </c>
      <c r="D36" t="inlineStr" s="9">
        <is>
          <t xml:space="preserve">Scrap Empty Oil Drum/ Barrel</t>
        </is>
      </c>
      <c r="E36" t="inlineStr" s="9">
        <is>
          <t xml:space="preserve">NO</t>
        </is>
      </c>
      <c r="F36" s="10">
        <v>1000</v>
      </c>
      <c r="G36" s="10">
        <v>517</v>
      </c>
      <c r="H36" s="12">
        <f>F36*G36</f>
        <v>517000</v>
      </c>
      <c r="I36" s="12">
        <f>ROUND(H36*0.18,0)</f>
        <v>93060</v>
      </c>
      <c r="J36" s="12">
        <f>ROUND((H36+I36)*0.02,0)</f>
        <v>12201</v>
      </c>
      <c r="K36" s="12">
        <f>ROUND((H36+I36)*0.0225,0)</f>
        <v>13726</v>
      </c>
      <c r="L36" s="12">
        <f>ROUND(H36*0.0225*0.02,0)</f>
        <v>233</v>
      </c>
      <c r="M36" s="12">
        <f>K36-L36</f>
        <v>13494</v>
      </c>
      <c r="N36" s="12">
        <f>ROUND(H36*0.001,0)</f>
        <v>517</v>
      </c>
      <c r="O36" s="10"/>
      <c r="P36" s="12">
        <f>ROUND(H36*O36/100,0)</f>
        <v>0</v>
      </c>
      <c r="Q36" s="13">
        <f>H36+I36+J36-M36-N36-P36</f>
        <v>608251</v>
      </c>
      <c r="R36" s="12">
        <f>ROUND(H36*0.25,0)</f>
        <v>129250</v>
      </c>
      <c r="S36" s="11">
        <v>129250</v>
      </c>
      <c r="T36" t="inlineStr" s="9">
        <is>
          <t xml:space="preserve">10.08.2026</t>
        </is>
      </c>
      <c r="U36" s="12">
        <f>Q36-R36</f>
        <v>479001</v>
      </c>
      <c r="V36" s="11">
        <v>0</v>
      </c>
      <c r="W36" t="inlineStr" s="9">
        <is>
          <t xml:space="preserve">10.08.2026</t>
        </is>
      </c>
      <c r="X36" s="13">
        <f>S36+V36</f>
        <v>129250</v>
      </c>
      <c r="Y36" s="13">
        <f>Q36-X36</f>
        <v>479001</v>
      </c>
      <c r="Z36" s="9"/>
      <c r="AA36" s="9"/>
    </row>
    <row r="37">
      <c r="A37" s="10">
        <v>2037</v>
      </c>
      <c r="B37" t="inlineStr" s="9">
        <is>
          <t xml:space="preserve">WATAN SCRAP TRADERS</t>
        </is>
      </c>
      <c r="C37" s="10">
        <v>21978</v>
      </c>
      <c r="D37" t="inlineStr" s="9">
        <is>
          <t xml:space="preserve">Scrap of empty oil Barrels</t>
        </is>
      </c>
      <c r="E37" t="inlineStr" s="9">
        <is>
          <t xml:space="preserve">NO</t>
        </is>
      </c>
      <c r="F37" s="10">
        <v>50</v>
      </c>
      <c r="G37" s="10">
        <v>531</v>
      </c>
      <c r="H37" s="12">
        <f>F37*G37</f>
        <v>26550</v>
      </c>
      <c r="I37" s="12">
        <f>ROUND(H37*0.18,0)</f>
        <v>4779</v>
      </c>
      <c r="J37" s="12">
        <f>ROUND((H37+I37)*0.02,0)</f>
        <v>627</v>
      </c>
      <c r="K37" s="12">
        <f>ROUND((H37+I37)*0.0225,0)</f>
        <v>705</v>
      </c>
      <c r="L37" s="12">
        <f>ROUND(H37*0.0225*0.02,0)</f>
        <v>12</v>
      </c>
      <c r="M37" s="12">
        <f>K37-L37</f>
        <v>693</v>
      </c>
      <c r="N37" s="12">
        <f>ROUND(H37*0.001,0)</f>
        <v>27</v>
      </c>
      <c r="O37" s="10"/>
      <c r="P37" s="12">
        <f>ROUND(H37*O37/100,0)</f>
        <v>0</v>
      </c>
      <c r="Q37" s="13">
        <f>H37+I37+J37-M37-N37-P37</f>
        <v>31236</v>
      </c>
      <c r="R37" s="12">
        <f>ROUND(H37*0.25,0)</f>
        <v>6638</v>
      </c>
      <c r="S37" s="11">
        <v>6638</v>
      </c>
      <c r="T37" t="inlineStr" s="9">
        <is>
          <t xml:space="preserve">11.08.2026</t>
        </is>
      </c>
      <c r="U37" s="12">
        <f>Q37-R37</f>
        <v>24599</v>
      </c>
      <c r="V37" s="11">
        <v>0</v>
      </c>
      <c r="W37" s="9"/>
      <c r="X37" s="13">
        <f>S37+V37</f>
        <v>6638</v>
      </c>
      <c r="Y37" s="13">
        <f>Q37-X37</f>
        <v>24598</v>
      </c>
      <c r="Z37" s="9"/>
      <c r="AA37" s="9"/>
    </row>
    <row r="38">
      <c r="A38" s="10">
        <v>2067</v>
      </c>
      <c r="B38" t="inlineStr" s="9">
        <is>
          <t xml:space="preserve">WATAN SCRAP TRADERS</t>
        </is>
      </c>
      <c r="C38" s="10">
        <v>21980</v>
      </c>
      <c r="D38" t="inlineStr" s="9">
        <is>
          <t xml:space="preserve">Scrap of empty oil drums</t>
        </is>
      </c>
      <c r="E38" t="inlineStr" s="9">
        <is>
          <t xml:space="preserve">NO</t>
        </is>
      </c>
      <c r="F38" s="10">
        <v>150</v>
      </c>
      <c r="G38" s="10">
        <v>571</v>
      </c>
      <c r="H38" s="12">
        <f>F38*G38</f>
        <v>85650</v>
      </c>
      <c r="I38" s="12">
        <f>ROUND(H38*0.18,0)</f>
        <v>15417</v>
      </c>
      <c r="J38" s="12">
        <f>ROUND((H38+I38)*0.02,0)</f>
        <v>2021</v>
      </c>
      <c r="K38" s="12">
        <f>ROUND((H38+I38)*0.0225,0)</f>
        <v>2274</v>
      </c>
      <c r="L38" s="12">
        <f>ROUND(H38*0.0225*0.02,0)</f>
        <v>39</v>
      </c>
      <c r="M38" s="12">
        <f>K38-L38</f>
        <v>2235</v>
      </c>
      <c r="N38" s="12">
        <f>ROUND(H38*0.001,0)</f>
        <v>86</v>
      </c>
      <c r="O38" s="10"/>
      <c r="P38" s="12">
        <f>ROUND(H38*O38/100,0)</f>
        <v>0</v>
      </c>
      <c r="Q38" s="13">
        <f>H38+I38+J38-M38-N38-P38</f>
        <v>100767</v>
      </c>
      <c r="R38" s="12">
        <f>ROUND(H38*0.25,0)</f>
        <v>21413</v>
      </c>
      <c r="S38" s="11">
        <v>21413</v>
      </c>
      <c r="T38" t="inlineStr" s="9">
        <is>
          <t xml:space="preserve">11.08.2026</t>
        </is>
      </c>
      <c r="U38" s="12">
        <f>Q38-R38</f>
        <v>79355</v>
      </c>
      <c r="V38" s="11">
        <v>0</v>
      </c>
      <c r="W38" s="9"/>
      <c r="X38" s="13">
        <f>S38+V38</f>
        <v>21413</v>
      </c>
      <c r="Y38" s="13">
        <f>Q38-X38</f>
        <v>79354</v>
      </c>
      <c r="Z38" s="9"/>
      <c r="AA38" s="9"/>
    </row>
    <row r="39" ht="20" customHeight="1">
      <c r="A39" s="16"/>
      <c r="B39" t="inlineStr" s="16">
        <is>
          <t xml:space="preserve">TOTAL</t>
        </is>
      </c>
      <c r="C39" s="16"/>
      <c r="D39" s="16"/>
      <c r="E39" s="16"/>
      <c r="F39" s="17">
        <f>SUM(F2:F38)</f>
        <v>17157.2</v>
      </c>
      <c r="G39" s="16"/>
      <c r="H39" s="17">
        <f>SUM(H2:H38)</f>
        <v>15130598</v>
      </c>
      <c r="I39" s="17">
        <f>SUM(I2:I38)</f>
        <v>2723508</v>
      </c>
      <c r="J39" s="17">
        <f>SUM(J2:J38)</f>
        <v>357082</v>
      </c>
      <c r="K39" s="17">
        <f>SUM(K2:K38)</f>
        <v>401718</v>
      </c>
      <c r="L39" s="17">
        <f>SUM(L2:L38)</f>
        <v>6811</v>
      </c>
      <c r="M39" s="17">
        <f>SUM(M2:M38)</f>
        <v>394908</v>
      </c>
      <c r="N39" s="17">
        <f>SUM(N2:N38)</f>
        <v>15132</v>
      </c>
      <c r="O39" s="16"/>
      <c r="P39" s="17">
        <f>SUM(P2:P38)</f>
        <v>91945</v>
      </c>
      <c r="Q39" s="17">
        <f>SUM(Q2:Q38)</f>
        <v>17709207</v>
      </c>
      <c r="R39" s="17">
        <f>SUM(R2:R38)</f>
        <v>3782654</v>
      </c>
      <c r="S39" s="17">
        <f>SUM(S2:S38)</f>
        <v>3585132</v>
      </c>
      <c r="T39" s="16"/>
      <c r="U39" s="17">
        <f>SUM(U2:U38)</f>
        <v>13926557</v>
      </c>
      <c r="V39" s="17">
        <f>SUM(V2:V38)</f>
        <v>7581353</v>
      </c>
      <c r="W39" s="16"/>
      <c r="X39" s="17">
        <f>SUM(X2:X38)</f>
        <v>11166485</v>
      </c>
      <c r="Y39" s="17">
        <f>SUM(Y2:Y38)</f>
        <v>6542724</v>
      </c>
      <c r="Z39" s="16"/>
      <c r="AA39" s="16"/>
    </row>
  </sheetData>
  <conditionalFormatting sqref="Y2:Y38">
    <cfRule type="cellIs" dxfId="0" priority="1" operator="greaterThan">
      <formula>0</formula>
    </cfRule>
    <cfRule type="cellIs" dxfId="1" priority="2" operator="lessThan">
      <formula>0</formula>
    </cfRule>
  </conditionalFormatting>
  <pageMargins left="0.4" right="0.4" top="0.5" bottom="0.5" header="0.2" footer="0.2"/>
  <pageSetup orientation="landscape" paperSize="9" scale="65" fitToWidth="1" fitToHeight="0"/>
  <tableParts count="1">
    <tablePart r:id="rId1"/>
  </tableParts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6"/>
  <cols>
    <col min="1" max="1" width="42"/>
    <col min="2" max="14" width="16"/>
  </cols>
  <sheetData>
    <row r="1">
      <c r="A1" t="inlineStr" s="6">
        <is>
          <t xml:space="preserve">ScrapSale Pro — Pivot Analytics (live formulas)</t>
        </is>
      </c>
    </row>
    <row r="2">
      <c r="A2" t="inlineStr" s="7">
        <is>
          <t xml:space="preserve">SUMIF / COUNTIF against table CashReceivables. Change a figure on Cash Receivables and this sheet updates. Collection % = Total Received ÷ Total Receivables.</t>
        </is>
      </c>
    </row>
    <row r="4">
      <c r="A4" t="inlineStr" s="1">
        <is>
          <t xml:space="preserve">Lots</t>
        </is>
      </c>
      <c r="B4" t="inlineStr" s="1">
        <is>
          <t xml:space="preserve">Buyers</t>
        </is>
      </c>
      <c r="C4" t="inlineStr" s="1">
        <is>
          <t xml:space="preserve">Material Value</t>
        </is>
      </c>
      <c r="D4" t="inlineStr" s="1">
        <is>
          <t xml:space="preserve">Total Receivables in Cash</t>
        </is>
      </c>
      <c r="E4" t="inlineStr" s="1">
        <is>
          <t xml:space="preserve">Total Received</t>
        </is>
      </c>
      <c r="F4" t="inlineStr" s="1">
        <is>
          <t xml:space="preserve">Outstanding</t>
        </is>
      </c>
      <c r="G4" t="inlineStr" s="1">
        <is>
          <t xml:space="preserve">Collection %</t>
        </is>
      </c>
    </row>
    <row r="5">
      <c r="A5">
        <f>COUNTA(CashReceivables[Lot No])</f>
        <v>37</v>
      </c>
      <c r="B5">
        <f>COUNTA(DimBuyer[Buyer])</f>
        <v>13</v>
      </c>
      <c r="C5" s="2">
        <f>SUM(CashReceivables[Material Value])</f>
        <v>15130598</v>
      </c>
      <c r="D5" s="2">
        <f>SUM(CashReceivables[Total Receivables in Cash])</f>
        <v>17709207</v>
      </c>
      <c r="E5" s="2">
        <f>SUM(CashReceivables[Total Received])</f>
        <v>11166485</v>
      </c>
      <c r="F5" s="2">
        <f>SUM(CashReceivables[Outstanding])</f>
        <v>6542724</v>
      </c>
      <c r="G5" s="8">
        <f>IF(D5=0,0,E5/D5)</f>
        <v>0.630547</v>
      </c>
    </row>
    <row r="7">
      <c r="A7" t="inlineStr" s="6">
        <is>
          <t xml:space="preserve">By Buyer</t>
        </is>
      </c>
    </row>
    <row r="8">
      <c r="A8" t="inlineStr" s="4">
        <is>
          <t xml:space="preserve">Buyer</t>
        </is>
      </c>
      <c r="B8" t="inlineStr" s="4">
        <is>
          <t xml:space="preserve">Lots</t>
        </is>
      </c>
      <c r="C8" t="inlineStr" s="4">
        <is>
          <t xml:space="preserve">Material Value</t>
        </is>
      </c>
      <c r="D8" t="inlineStr" s="4">
        <is>
          <t xml:space="preserve">GST</t>
        </is>
      </c>
      <c r="E8" t="inlineStr" s="4">
        <is>
          <t xml:space="preserve">TCS</t>
        </is>
      </c>
      <c r="F8" t="inlineStr" s="4">
        <is>
          <t xml:space="preserve">Total Receivables in Cash</t>
        </is>
      </c>
      <c r="G8" t="inlineStr" s="4">
        <is>
          <t xml:space="preserve">SD Expected</t>
        </is>
      </c>
      <c r="H8" t="inlineStr" s="4">
        <is>
          <t xml:space="preserve">SD Received</t>
        </is>
      </c>
      <c r="I8" t="inlineStr" s="4">
        <is>
          <t xml:space="preserve">FP Expected</t>
        </is>
      </c>
      <c r="J8" t="inlineStr" s="4">
        <is>
          <t xml:space="preserve">FP Received</t>
        </is>
      </c>
      <c r="K8" t="inlineStr" s="4">
        <is>
          <t xml:space="preserve">Total Received</t>
        </is>
      </c>
      <c r="L8" t="inlineStr" s="4">
        <is>
          <t xml:space="preserve">Outstanding</t>
        </is>
      </c>
      <c r="M8" t="inlineStr" s="4">
        <is>
          <t xml:space="preserve">Collection %</t>
        </is>
      </c>
    </row>
    <row r="9">
      <c r="A9" t="inlineStr" s="1">
        <is>
          <t xml:space="preserve">AL HAMD TRADE CORPORATION</t>
        </is>
      </c>
      <c r="B9">
        <f>COUNTIF(CashReceivables[Buyer],A9)</f>
        <v>1</v>
      </c>
      <c r="C9" s="2">
        <f>SUMIF(CashReceivables[Buyer],A9,CashReceivables[Material Value])</f>
        <v>790089</v>
      </c>
      <c r="D9" s="2">
        <f>SUMIF(CashReceivables[Buyer],A9,CashReceivables[GST])</f>
        <v>142216</v>
      </c>
      <c r="E9" s="2">
        <f>SUMIF(CashReceivables[Buyer],A9,CashReceivables[TCS])</f>
        <v>18646</v>
      </c>
      <c r="F9" s="2">
        <f>SUMIF(CashReceivables[Buyer],A9,CashReceivables[Total Receivables in Cash])</f>
        <v>913738</v>
      </c>
      <c r="G9" s="2">
        <f>SUMIF(CashReceivables[Buyer],A9,CashReceivables[SD Expected])</f>
        <v>197522</v>
      </c>
      <c r="H9" s="2">
        <f>SUMIF(CashReceivables[Buyer],A9,CashReceivables[SD Received])</f>
        <v>0</v>
      </c>
      <c r="I9" s="2">
        <f>SUMIF(CashReceivables[Buyer],A9,CashReceivables[FP Expected])</f>
        <v>716215</v>
      </c>
      <c r="J9" s="2">
        <f>SUMIF(CashReceivables[Buyer],A9,CashReceivables[FP Received])</f>
        <v>0</v>
      </c>
      <c r="K9" s="2">
        <f>SUMIF(CashReceivables[Buyer],A9,CashReceivables[Total Received])</f>
        <v>0</v>
      </c>
      <c r="L9" s="2">
        <f>SUMIF(CashReceivables[Buyer],A9,CashReceivables[Outstanding])</f>
        <v>913738</v>
      </c>
      <c r="M9" s="8">
        <f>IF(F9=0,0,K9/F9)</f>
        <v>0</v>
      </c>
    </row>
    <row r="10">
      <c r="A10" t="inlineStr" s="1">
        <is>
          <t xml:space="preserve">F R KHANS ENTERPRISES</t>
        </is>
      </c>
      <c r="B10">
        <f>COUNTIF(CashReceivables[Buyer],A10)</f>
        <v>2</v>
      </c>
      <c r="C10" s="2">
        <f>SUMIF(CashReceivables[Buyer],A10,CashReceivables[Material Value])</f>
        <v>238768</v>
      </c>
      <c r="D10" s="2">
        <f>SUMIF(CashReceivables[Buyer],A10,CashReceivables[GST])</f>
        <v>42978</v>
      </c>
      <c r="E10" s="2">
        <f>SUMIF(CashReceivables[Buyer],A10,CashReceivables[TCS])</f>
        <v>5635</v>
      </c>
      <c r="F10" s="2">
        <f>SUMIF(CashReceivables[Buyer],A10,CashReceivables[Total Receivables in Cash])</f>
        <v>276136</v>
      </c>
      <c r="G10" s="2">
        <f>SUMIF(CashReceivables[Buyer],A10,CashReceivables[SD Expected])</f>
        <v>59692</v>
      </c>
      <c r="H10" s="2">
        <f>SUMIF(CashReceivables[Buyer],A10,CashReceivables[SD Received])</f>
        <v>59692</v>
      </c>
      <c r="I10" s="2">
        <f>SUMIF(CashReceivables[Buyer],A10,CashReceivables[FP Expected])</f>
        <v>216444</v>
      </c>
      <c r="J10" s="2">
        <f>SUMIF(CashReceivables[Buyer],A10,CashReceivables[FP Received])</f>
        <v>0</v>
      </c>
      <c r="K10" s="2">
        <f>SUMIF(CashReceivables[Buyer],A10,CashReceivables[Total Received])</f>
        <v>59692</v>
      </c>
      <c r="L10" s="2">
        <f>SUMIF(CashReceivables[Buyer],A10,CashReceivables[Outstanding])</f>
        <v>216444</v>
      </c>
      <c r="M10" s="8">
        <f>IF(F10=0,0,K10/F10)</f>
        <v>0.216169</v>
      </c>
    </row>
    <row r="11">
      <c r="A11" t="inlineStr" s="1">
        <is>
          <t xml:space="preserve">HIND TRADERS</t>
        </is>
      </c>
      <c r="B11">
        <f>COUNTIF(CashReceivables[Buyer],A11)</f>
        <v>1</v>
      </c>
      <c r="C11" s="2">
        <f>SUMIF(CashReceivables[Buyer],A11,CashReceivables[Material Value])</f>
        <v>135750</v>
      </c>
      <c r="D11" s="2">
        <f>SUMIF(CashReceivables[Buyer],A11,CashReceivables[GST])</f>
        <v>24435</v>
      </c>
      <c r="E11" s="2">
        <f>SUMIF(CashReceivables[Buyer],A11,CashReceivables[TCS])</f>
        <v>3204</v>
      </c>
      <c r="F11" s="2">
        <f>SUMIF(CashReceivables[Buyer],A11,CashReceivables[Total Receivables in Cash])</f>
        <v>159710</v>
      </c>
      <c r="G11" s="2">
        <f>SUMIF(CashReceivables[Buyer],A11,CashReceivables[SD Expected])</f>
        <v>33938</v>
      </c>
      <c r="H11" s="2">
        <f>SUMIF(CashReceivables[Buyer],A11,CashReceivables[SD Received])</f>
        <v>33938</v>
      </c>
      <c r="I11" s="2">
        <f>SUMIF(CashReceivables[Buyer],A11,CashReceivables[FP Expected])</f>
        <v>125772</v>
      </c>
      <c r="J11" s="2">
        <f>SUMIF(CashReceivables[Buyer],A11,CashReceivables[FP Received])</f>
        <v>0</v>
      </c>
      <c r="K11" s="2">
        <f>SUMIF(CashReceivables[Buyer],A11,CashReceivables[Total Received])</f>
        <v>33938</v>
      </c>
      <c r="L11" s="2">
        <f>SUMIF(CashReceivables[Buyer],A11,CashReceivables[Outstanding])</f>
        <v>125772</v>
      </c>
      <c r="M11" s="8">
        <f>IF(F11=0,0,K11/F11)</f>
        <v>0.212498</v>
      </c>
    </row>
    <row r="12">
      <c r="A12" t="inlineStr" s="1">
        <is>
          <t xml:space="preserve">KASHYAP TRADING CO</t>
        </is>
      </c>
      <c r="B12">
        <f>COUNTIF(CashReceivables[Buyer],A12)</f>
        <v>1</v>
      </c>
      <c r="C12" s="2">
        <f>SUMIF(CashReceivables[Buyer],A12,CashReceivables[Material Value])</f>
        <v>210003</v>
      </c>
      <c r="D12" s="2">
        <f>SUMIF(CashReceivables[Buyer],A12,CashReceivables[GST])</f>
        <v>37801</v>
      </c>
      <c r="E12" s="2">
        <f>SUMIF(CashReceivables[Buyer],A12,CashReceivables[TCS])</f>
        <v>4956</v>
      </c>
      <c r="F12" s="2">
        <f>SUMIF(CashReceivables[Buyer],A12,CashReceivables[Total Receivables in Cash])</f>
        <v>247069</v>
      </c>
      <c r="G12" s="2">
        <f>SUMIF(CashReceivables[Buyer],A12,CashReceivables[SD Expected])</f>
        <v>52501</v>
      </c>
      <c r="H12" s="2">
        <f>SUMIF(CashReceivables[Buyer],A12,CashReceivables[SD Received])</f>
        <v>52501</v>
      </c>
      <c r="I12" s="2">
        <f>SUMIF(CashReceivables[Buyer],A12,CashReceivables[FP Expected])</f>
        <v>194568</v>
      </c>
      <c r="J12" s="2">
        <f>SUMIF(CashReceivables[Buyer],A12,CashReceivables[FP Received])</f>
        <v>194568</v>
      </c>
      <c r="K12" s="2">
        <f>SUMIF(CashReceivables[Buyer],A12,CashReceivables[Total Received])</f>
        <v>247069</v>
      </c>
      <c r="L12" s="2">
        <f>SUMIF(CashReceivables[Buyer],A12,CashReceivables[Outstanding])</f>
        <v>0</v>
      </c>
      <c r="M12" s="8">
        <f>IF(F12=0,0,K12/F12)</f>
        <v>1</v>
      </c>
    </row>
    <row r="13">
      <c r="A13" t="inlineStr" s="1">
        <is>
          <t xml:space="preserve">M I SCRAP TRADERS</t>
        </is>
      </c>
      <c r="B13">
        <f>COUNTIF(CashReceivables[Buyer],A13)</f>
        <v>1</v>
      </c>
      <c r="C13" s="2">
        <f>SUMIF(CashReceivables[Buyer],A13,CashReceivables[Material Value])</f>
        <v>549400</v>
      </c>
      <c r="D13" s="2">
        <f>SUMIF(CashReceivables[Buyer],A13,CashReceivables[GST])</f>
        <v>98892</v>
      </c>
      <c r="E13" s="2">
        <f>SUMIF(CashReceivables[Buyer],A13,CashReceivables[TCS])</f>
        <v>12966</v>
      </c>
      <c r="F13" s="2">
        <f>SUMIF(CashReceivables[Buyer],A13,CashReceivables[Total Receivables in Cash])</f>
        <v>635381</v>
      </c>
      <c r="G13" s="2">
        <f>SUMIF(CashReceivables[Buyer],A13,CashReceivables[SD Expected])</f>
        <v>137350</v>
      </c>
      <c r="H13" s="2">
        <f>SUMIF(CashReceivables[Buyer],A13,CashReceivables[SD Received])</f>
        <v>137350</v>
      </c>
      <c r="I13" s="2">
        <f>SUMIF(CashReceivables[Buyer],A13,CashReceivables[FP Expected])</f>
        <v>498031</v>
      </c>
      <c r="J13" s="2">
        <f>SUMIF(CashReceivables[Buyer],A13,CashReceivables[FP Received])</f>
        <v>0</v>
      </c>
      <c r="K13" s="2">
        <f>SUMIF(CashReceivables[Buyer],A13,CashReceivables[Total Received])</f>
        <v>137350</v>
      </c>
      <c r="L13" s="2">
        <f>SUMIF(CashReceivables[Buyer],A13,CashReceivables[Outstanding])</f>
        <v>498031</v>
      </c>
      <c r="M13" s="8">
        <f>IF(F13=0,0,K13/F13)</f>
        <v>0.21617</v>
      </c>
    </row>
    <row r="14">
      <c r="A14" t="inlineStr" s="1">
        <is>
          <t xml:space="preserve">NATIONAL ENTERPRISES</t>
        </is>
      </c>
      <c r="B14">
        <f>COUNTIF(CashReceivables[Buyer],A14)</f>
        <v>13</v>
      </c>
      <c r="C14" s="2">
        <f>SUMIF(CashReceivables[Buyer],A14,CashReceivables[Material Value])</f>
        <v>1921410</v>
      </c>
      <c r="D14" s="2">
        <f>SUMIF(CashReceivables[Buyer],A14,CashReceivables[GST])</f>
        <v>345853</v>
      </c>
      <c r="E14" s="2">
        <f>SUMIF(CashReceivables[Buyer],A14,CashReceivables[TCS])</f>
        <v>45345</v>
      </c>
      <c r="F14" s="2">
        <f>SUMIF(CashReceivables[Buyer],A14,CashReceivables[Total Receivables in Cash])</f>
        <v>2260539</v>
      </c>
      <c r="G14" s="2">
        <f>SUMIF(CashReceivables[Buyer],A14,CashReceivables[SD Expected])</f>
        <v>480354</v>
      </c>
      <c r="H14" s="2">
        <f>SUMIF(CashReceivables[Buyer],A14,CashReceivables[SD Received])</f>
        <v>480354</v>
      </c>
      <c r="I14" s="2">
        <f>SUMIF(CashReceivables[Buyer],A14,CashReceivables[FP Expected])</f>
        <v>1780188</v>
      </c>
      <c r="J14" s="2">
        <f>SUMIF(CashReceivables[Buyer],A14,CashReceivables[FP Received])</f>
        <v>0</v>
      </c>
      <c r="K14" s="2">
        <f>SUMIF(CashReceivables[Buyer],A14,CashReceivables[Total Received])</f>
        <v>480354</v>
      </c>
      <c r="L14" s="2">
        <f>SUMIF(CashReceivables[Buyer],A14,CashReceivables[Outstanding])</f>
        <v>1780186</v>
      </c>
      <c r="M14" s="8">
        <f>IF(F14=0,0,K14/F14)</f>
        <v>0.212495</v>
      </c>
    </row>
    <row r="15">
      <c r="A15" t="inlineStr" s="1">
        <is>
          <t xml:space="preserve">NATIONAL SCRAP AND BUILDING MATERIAL SUPPLIER</t>
        </is>
      </c>
      <c r="B15">
        <f>COUNTIF(CashReceivables[Buyer],A15)</f>
        <v>1</v>
      </c>
      <c r="C15" s="2">
        <f>SUMIF(CashReceivables[Buyer],A15,CashReceivables[Material Value])</f>
        <v>330600</v>
      </c>
      <c r="D15" s="2">
        <f>SUMIF(CashReceivables[Buyer],A15,CashReceivables[GST])</f>
        <v>59508</v>
      </c>
      <c r="E15" s="2">
        <f>SUMIF(CashReceivables[Buyer],A15,CashReceivables[TCS])</f>
        <v>7802</v>
      </c>
      <c r="F15" s="2">
        <f>SUMIF(CashReceivables[Buyer],A15,CashReceivables[Total Receivables in Cash])</f>
        <v>388951</v>
      </c>
      <c r="G15" s="2">
        <f>SUMIF(CashReceivables[Buyer],A15,CashReceivables[SD Expected])</f>
        <v>82650</v>
      </c>
      <c r="H15" s="2">
        <f>SUMIF(CashReceivables[Buyer],A15,CashReceivables[SD Received])</f>
        <v>82650</v>
      </c>
      <c r="I15" s="2">
        <f>SUMIF(CashReceivables[Buyer],A15,CashReceivables[FP Expected])</f>
        <v>306301</v>
      </c>
      <c r="J15" s="2">
        <f>SUMIF(CashReceivables[Buyer],A15,CashReceivables[FP Received])</f>
        <v>0</v>
      </c>
      <c r="K15" s="2">
        <f>SUMIF(CashReceivables[Buyer],A15,CashReceivables[Total Received])</f>
        <v>82650</v>
      </c>
      <c r="L15" s="2">
        <f>SUMIF(CashReceivables[Buyer],A15,CashReceivables[Outstanding])</f>
        <v>306301</v>
      </c>
      <c r="M15" s="8">
        <f>IF(F15=0,0,K15/F15)</f>
        <v>0.212495</v>
      </c>
    </row>
    <row r="16">
      <c r="A16" t="inlineStr" s="1">
        <is>
          <t xml:space="preserve">OMKAR STEELS</t>
        </is>
      </c>
      <c r="B16">
        <f>COUNTIF(CashReceivables[Buyer],A16)</f>
        <v>2</v>
      </c>
      <c r="C16" s="2">
        <f>SUMIF(CashReceivables[Buyer],A16,CashReceivables[Material Value])</f>
        <v>2811931</v>
      </c>
      <c r="D16" s="2">
        <f>SUMIF(CashReceivables[Buyer],A16,CashReceivables[GST])</f>
        <v>506148</v>
      </c>
      <c r="E16" s="2">
        <f>SUMIF(CashReceivables[Buyer],A16,CashReceivables[TCS])</f>
        <v>66362</v>
      </c>
      <c r="F16" s="2">
        <f>SUMIF(CashReceivables[Buyer],A16,CashReceivables[Total Receivables in Cash])</f>
        <v>3251998</v>
      </c>
      <c r="G16" s="2">
        <f>SUMIF(CashReceivables[Buyer],A16,CashReceivables[SD Expected])</f>
        <v>702983</v>
      </c>
      <c r="H16" s="2">
        <f>SUMIF(CashReceivables[Buyer],A16,CashReceivables[SD Received])</f>
        <v>702983</v>
      </c>
      <c r="I16" s="2">
        <f>SUMIF(CashReceivables[Buyer],A16,CashReceivables[FP Expected])</f>
        <v>2549015</v>
      </c>
      <c r="J16" s="2">
        <f>SUMIF(CashReceivables[Buyer],A16,CashReceivables[FP Received])</f>
        <v>1056525</v>
      </c>
      <c r="K16" s="2">
        <f>SUMIF(CashReceivables[Buyer],A16,CashReceivables[Total Received])</f>
        <v>1759508</v>
      </c>
      <c r="L16" s="2">
        <f>SUMIF(CashReceivables[Buyer],A16,CashReceivables[Outstanding])</f>
        <v>1492490</v>
      </c>
      <c r="M16" s="8">
        <f>IF(F16=0,0,K16/F16)</f>
        <v>0.541054</v>
      </c>
    </row>
    <row r="17">
      <c r="A17" t="inlineStr" s="1">
        <is>
          <t xml:space="preserve">S M ENTERPRISES</t>
        </is>
      </c>
      <c r="B17">
        <f>COUNTIF(CashReceivables[Buyer],A17)</f>
        <v>2</v>
      </c>
      <c r="C17" s="2">
        <f>SUMIF(CashReceivables[Buyer],A17,CashReceivables[Material Value])</f>
        <v>150021</v>
      </c>
      <c r="D17" s="2">
        <f>SUMIF(CashReceivables[Buyer],A17,CashReceivables[GST])</f>
        <v>27004</v>
      </c>
      <c r="E17" s="2">
        <f>SUMIF(CashReceivables[Buyer],A17,CashReceivables[TCS])</f>
        <v>3540</v>
      </c>
      <c r="F17" s="2">
        <f>SUMIF(CashReceivables[Buyer],A17,CashReceivables[Total Receivables in Cash])</f>
        <v>176500</v>
      </c>
      <c r="G17" s="2">
        <f>SUMIF(CashReceivables[Buyer],A17,CashReceivables[SD Expected])</f>
        <v>37505</v>
      </c>
      <c r="H17" s="2">
        <f>SUMIF(CashReceivables[Buyer],A17,CashReceivables[SD Received])</f>
        <v>37505</v>
      </c>
      <c r="I17" s="2">
        <f>SUMIF(CashReceivables[Buyer],A17,CashReceivables[FP Expected])</f>
        <v>138994</v>
      </c>
      <c r="J17" s="2">
        <f>SUMIF(CashReceivables[Buyer],A17,CashReceivables[FP Received])</f>
        <v>0</v>
      </c>
      <c r="K17" s="2">
        <f>SUMIF(CashReceivables[Buyer],A17,CashReceivables[Total Received])</f>
        <v>37505</v>
      </c>
      <c r="L17" s="2">
        <f>SUMIF(CashReceivables[Buyer],A17,CashReceivables[Outstanding])</f>
        <v>138995</v>
      </c>
      <c r="M17" s="8">
        <f>IF(F17=0,0,K17/F17)</f>
        <v>0.212493</v>
      </c>
    </row>
    <row r="18">
      <c r="A18" t="inlineStr" s="1">
        <is>
          <t xml:space="preserve">SAHARA ENTERPRISES</t>
        </is>
      </c>
      <c r="B18">
        <f>COUNTIF(CashReceivables[Buyer],A18)</f>
        <v>1</v>
      </c>
      <c r="C18" s="2">
        <f>SUMIF(CashReceivables[Buyer],A18,CashReceivables[Material Value])</f>
        <v>207030</v>
      </c>
      <c r="D18" s="2">
        <f>SUMIF(CashReceivables[Buyer],A18,CashReceivables[GST])</f>
        <v>37265</v>
      </c>
      <c r="E18" s="2">
        <f>SUMIF(CashReceivables[Buyer],A18,CashReceivables[TCS])</f>
        <v>4886</v>
      </c>
      <c r="F18" s="2">
        <f>SUMIF(CashReceivables[Buyer],A18,CashReceivables[Total Receivables in Cash])</f>
        <v>239430</v>
      </c>
      <c r="G18" s="2">
        <f>SUMIF(CashReceivables[Buyer],A18,CashReceivables[SD Expected])</f>
        <v>51758</v>
      </c>
      <c r="H18" s="2">
        <f>SUMIF(CashReceivables[Buyer],A18,CashReceivables[SD Received])</f>
        <v>51758</v>
      </c>
      <c r="I18" s="2">
        <f>SUMIF(CashReceivables[Buyer],A18,CashReceivables[FP Expected])</f>
        <v>187672</v>
      </c>
      <c r="J18" s="2">
        <f>SUMIF(CashReceivables[Buyer],A18,CashReceivables[FP Received])</f>
        <v>0</v>
      </c>
      <c r="K18" s="2">
        <f>SUMIF(CashReceivables[Buyer],A18,CashReceivables[Total Received])</f>
        <v>51758</v>
      </c>
      <c r="L18" s="2">
        <f>SUMIF(CashReceivables[Buyer],A18,CashReceivables[Outstanding])</f>
        <v>187672</v>
      </c>
      <c r="M18" s="8">
        <f>IF(F18=0,0,K18/F18)</f>
        <v>0.216172</v>
      </c>
    </row>
    <row r="19">
      <c r="A19" t="inlineStr" s="1">
        <is>
          <t xml:space="preserve">SHAR JAHAN TRADERS</t>
        </is>
      </c>
      <c r="B19">
        <f>COUNTIF(CashReceivables[Buyer],A19)</f>
        <v>2</v>
      </c>
      <c r="C19" s="2">
        <f>SUMIF(CashReceivables[Buyer],A19,CashReceivables[Material Value])</f>
        <v>6644430</v>
      </c>
      <c r="D19" s="2">
        <f>SUMIF(CashReceivables[Buyer],A19,CashReceivables[GST])</f>
        <v>1195998</v>
      </c>
      <c r="E19" s="2">
        <f>SUMIF(CashReceivables[Buyer],A19,CashReceivables[TCS])</f>
        <v>156809</v>
      </c>
      <c r="F19" s="2">
        <f>SUMIF(CashReceivables[Buyer],A19,CashReceivables[Total Receivables in Cash])</f>
        <v>7817172</v>
      </c>
      <c r="G19" s="2">
        <f>SUMIF(CashReceivables[Buyer],A19,CashReceivables[SD Expected])</f>
        <v>1661108</v>
      </c>
      <c r="H19" s="2">
        <f>SUMIF(CashReceivables[Buyer],A19,CashReceivables[SD Received])</f>
        <v>1661108</v>
      </c>
      <c r="I19" s="2">
        <f>SUMIF(CashReceivables[Buyer],A19,CashReceivables[FP Expected])</f>
        <v>6156064</v>
      </c>
      <c r="J19" s="2">
        <f>SUMIF(CashReceivables[Buyer],A19,CashReceivables[FP Received])</f>
        <v>6156066</v>
      </c>
      <c r="K19" s="2">
        <f>SUMIF(CashReceivables[Buyer],A19,CashReceivables[Total Received])</f>
        <v>7817174</v>
      </c>
      <c r="L19" s="2">
        <f>SUMIF(CashReceivables[Buyer],A19,CashReceivables[Outstanding])</f>
        <v>-2</v>
      </c>
      <c r="M19" s="8">
        <f>IF(F19=0,0,K19/F19)</f>
        <v>1</v>
      </c>
    </row>
    <row r="20">
      <c r="A20" t="inlineStr" s="1">
        <is>
          <t xml:space="preserve">STERLING ENTERPRISES</t>
        </is>
      </c>
      <c r="B20">
        <f>COUNTIF(CashReceivables[Buyer],A20)</f>
        <v>7</v>
      </c>
      <c r="C20" s="2">
        <f>SUMIF(CashReceivables[Buyer],A20,CashReceivables[Material Value])</f>
        <v>511966</v>
      </c>
      <c r="D20" s="2">
        <f>SUMIF(CashReceivables[Buyer],A20,CashReceivables[GST])</f>
        <v>92154</v>
      </c>
      <c r="E20" s="2">
        <f>SUMIF(CashReceivables[Buyer],A20,CashReceivables[TCS])</f>
        <v>12082</v>
      </c>
      <c r="F20" s="2">
        <f>SUMIF(CashReceivables[Buyer],A20,CashReceivables[Total Receivables in Cash])</f>
        <v>602329</v>
      </c>
      <c r="G20" s="2">
        <f>SUMIF(CashReceivables[Buyer],A20,CashReceivables[SD Expected])</f>
        <v>127992</v>
      </c>
      <c r="H20" s="2">
        <f>SUMIF(CashReceivables[Buyer],A20,CashReceivables[SD Received])</f>
        <v>127992</v>
      </c>
      <c r="I20" s="2">
        <f>SUMIF(CashReceivables[Buyer],A20,CashReceivables[FP Expected])</f>
        <v>474338</v>
      </c>
      <c r="J20" s="2">
        <f>SUMIF(CashReceivables[Buyer],A20,CashReceivables[FP Received])</f>
        <v>174194</v>
      </c>
      <c r="K20" s="2">
        <f>SUMIF(CashReceivables[Buyer],A20,CashReceivables[Total Received])</f>
        <v>302186</v>
      </c>
      <c r="L20" s="2">
        <f>SUMIF(CashReceivables[Buyer],A20,CashReceivables[Outstanding])</f>
        <v>300144</v>
      </c>
      <c r="M20" s="8">
        <f>IF(F20=0,0,K20/F20)</f>
        <v>0.501696</v>
      </c>
    </row>
    <row r="21">
      <c r="A21" t="inlineStr" s="1">
        <is>
          <t xml:space="preserve">WATAN SCRAP TRADERS</t>
        </is>
      </c>
      <c r="B21">
        <f>COUNTIF(CashReceivables[Buyer],A21)</f>
        <v>3</v>
      </c>
      <c r="C21" s="2">
        <f>SUMIF(CashReceivables[Buyer],A21,CashReceivables[Material Value])</f>
        <v>629200</v>
      </c>
      <c r="D21" s="2">
        <f>SUMIF(CashReceivables[Buyer],A21,CashReceivables[GST])</f>
        <v>113256</v>
      </c>
      <c r="E21" s="2">
        <f>SUMIF(CashReceivables[Buyer],A21,CashReceivables[TCS])</f>
        <v>14849</v>
      </c>
      <c r="F21" s="2">
        <f>SUMIF(CashReceivables[Buyer],A21,CashReceivables[Total Receivables in Cash])</f>
        <v>740254</v>
      </c>
      <c r="G21" s="2">
        <f>SUMIF(CashReceivables[Buyer],A21,CashReceivables[SD Expected])</f>
        <v>157301</v>
      </c>
      <c r="H21" s="2">
        <f>SUMIF(CashReceivables[Buyer],A21,CashReceivables[SD Received])</f>
        <v>157301</v>
      </c>
      <c r="I21" s="2">
        <f>SUMIF(CashReceivables[Buyer],A21,CashReceivables[FP Expected])</f>
        <v>582955</v>
      </c>
      <c r="J21" s="2">
        <f>SUMIF(CashReceivables[Buyer],A21,CashReceivables[FP Received])</f>
        <v>0</v>
      </c>
      <c r="K21" s="2">
        <f>SUMIF(CashReceivables[Buyer],A21,CashReceivables[Total Received])</f>
        <v>157301</v>
      </c>
      <c r="L21" s="2">
        <f>SUMIF(CashReceivables[Buyer],A21,CashReceivables[Outstanding])</f>
        <v>582953</v>
      </c>
      <c r="M21" s="8">
        <f>IF(F21=0,0,K21/F21)</f>
        <v>0.212496</v>
      </c>
    </row>
    <row r="22">
      <c r="A22" t="inlineStr" s="3">
        <is>
          <t xml:space="preserve">TOTAL</t>
        </is>
      </c>
      <c r="B22" s="3">
        <f>SUM(B9:B21)</f>
        <v>37</v>
      </c>
      <c r="C22" s="3">
        <f>SUM(C9:C21)</f>
        <v>15130598</v>
      </c>
      <c r="D22" s="3">
        <f>SUM(D9:D21)</f>
        <v>2723508</v>
      </c>
      <c r="E22" s="3">
        <f>SUM(E9:E21)</f>
        <v>357082</v>
      </c>
      <c r="F22" s="3">
        <f>SUM(F9:F21)</f>
        <v>17709207</v>
      </c>
      <c r="G22" s="3">
        <f>SUM(G9:G21)</f>
        <v>3782654</v>
      </c>
      <c r="H22" s="3">
        <f>SUM(H9:H21)</f>
        <v>3585132</v>
      </c>
      <c r="I22" s="3">
        <f>SUM(I9:I21)</f>
        <v>13926557</v>
      </c>
      <c r="J22" s="3">
        <f>SUM(J9:J21)</f>
        <v>7581353</v>
      </c>
      <c r="K22" s="3">
        <f>SUM(K9:K21)</f>
        <v>11166485</v>
      </c>
      <c r="L22" s="3">
        <f>SUM(L9:L21)</f>
        <v>6542724</v>
      </c>
      <c r="M22" s="8">
        <f>IF(F22=0,0,K22/F22)</f>
        <v>0.630547</v>
      </c>
    </row>
    <row r="25">
      <c r="A25" t="inlineStr" s="6">
        <is>
          <t xml:space="preserve">By Auction</t>
        </is>
      </c>
    </row>
    <row r="26">
      <c r="A26" t="inlineStr" s="4">
        <is>
          <t xml:space="preserve">Auction</t>
        </is>
      </c>
      <c r="B26" t="inlineStr" s="4">
        <is>
          <t xml:space="preserve">Lots</t>
        </is>
      </c>
      <c r="C26" t="inlineStr" s="4">
        <is>
          <t xml:space="preserve">Material Value</t>
        </is>
      </c>
      <c r="D26" t="inlineStr" s="4">
        <is>
          <t xml:space="preserve">GST</t>
        </is>
      </c>
      <c r="E26" t="inlineStr" s="4">
        <is>
          <t xml:space="preserve">TCS</t>
        </is>
      </c>
      <c r="F26" t="inlineStr" s="4">
        <is>
          <t xml:space="preserve">Total Receivables in Cash</t>
        </is>
      </c>
      <c r="G26" t="inlineStr" s="4">
        <is>
          <t xml:space="preserve">SD Expected</t>
        </is>
      </c>
      <c r="H26" t="inlineStr" s="4">
        <is>
          <t xml:space="preserve">SD Received</t>
        </is>
      </c>
      <c r="I26" t="inlineStr" s="4">
        <is>
          <t xml:space="preserve">FP Expected</t>
        </is>
      </c>
      <c r="J26" t="inlineStr" s="4">
        <is>
          <t xml:space="preserve">FP Received</t>
        </is>
      </c>
      <c r="K26" t="inlineStr" s="4">
        <is>
          <t xml:space="preserve">Total Received</t>
        </is>
      </c>
      <c r="L26" t="inlineStr" s="4">
        <is>
          <t xml:space="preserve">Outstanding</t>
        </is>
      </c>
      <c r="M26" t="inlineStr" s="4">
        <is>
          <t xml:space="preserve">Collection %</t>
        </is>
      </c>
    </row>
    <row r="27">
      <c r="A27" t="inlineStr" s="1">
        <is>
          <t xml:space="preserve">21977</t>
        </is>
      </c>
      <c r="B27">
        <f>COUNTIF(CashReceivables[Auction],A27)</f>
        <v>11</v>
      </c>
      <c r="C27" s="2">
        <f>SUMIF(CashReceivables[Auction],A27,CashReceivables[Material Value])</f>
        <v>7549505</v>
      </c>
      <c r="D27" s="2">
        <f>SUMIF(CashReceivables[Auction],A27,CashReceivables[GST])</f>
        <v>1358911</v>
      </c>
      <c r="E27" s="2">
        <f>SUMIF(CashReceivables[Auction],A27,CashReceivables[TCS])</f>
        <v>178169</v>
      </c>
      <c r="F27" s="2">
        <f>SUMIF(CashReceivables[Auction],A27,CashReceivables[Total Receivables in Cash])</f>
        <v>8877219</v>
      </c>
      <c r="G27" s="2">
        <f>SUMIF(CashReceivables[Auction],A27,CashReceivables[SD Expected])</f>
        <v>1887378</v>
      </c>
      <c r="H27" s="2">
        <f>SUMIF(CashReceivables[Auction],A27,CashReceivables[SD Received])</f>
        <v>1887378</v>
      </c>
      <c r="I27" s="2">
        <f>SUMIF(CashReceivables[Auction],A27,CashReceivables[FP Expected])</f>
        <v>6989842</v>
      </c>
      <c r="J27" s="2">
        <f>SUMIF(CashReceivables[Auction],A27,CashReceivables[FP Received])</f>
        <v>6186547</v>
      </c>
      <c r="K27" s="2">
        <f>SUMIF(CashReceivables[Auction],A27,CashReceivables[Total Received])</f>
        <v>8073925</v>
      </c>
      <c r="L27" s="2">
        <f>SUMIF(CashReceivables[Auction],A27,CashReceivables[Outstanding])</f>
        <v>803294</v>
      </c>
      <c r="M27" s="8">
        <f>IF(F27=0,0,K27/F27)</f>
        <v>0.909511</v>
      </c>
    </row>
    <row r="28">
      <c r="A28" t="inlineStr" s="1">
        <is>
          <t xml:space="preserve">21978</t>
        </is>
      </c>
      <c r="B28">
        <f>COUNTIF(CashReceivables[Auction],A28)</f>
        <v>13</v>
      </c>
      <c r="C28" s="2">
        <f>SUMIF(CashReceivables[Auction],A28,CashReceivables[Material Value])</f>
        <v>3752292</v>
      </c>
      <c r="D28" s="2">
        <f>SUMIF(CashReceivables[Auction],A28,CashReceivables[GST])</f>
        <v>675412</v>
      </c>
      <c r="E28" s="2">
        <f>SUMIF(CashReceivables[Auction],A28,CashReceivables[TCS])</f>
        <v>88555</v>
      </c>
      <c r="F28" s="2">
        <f>SUMIF(CashReceivables[Auction],A28,CashReceivables[Total Receivables in Cash])</f>
        <v>4380275</v>
      </c>
      <c r="G28" s="2">
        <f>SUMIF(CashReceivables[Auction],A28,CashReceivables[SD Expected])</f>
        <v>938074</v>
      </c>
      <c r="H28" s="2">
        <f>SUMIF(CashReceivables[Auction],A28,CashReceivables[SD Received])</f>
        <v>938074</v>
      </c>
      <c r="I28" s="2">
        <f>SUMIF(CashReceivables[Auction],A28,CashReceivables[FP Expected])</f>
        <v>3442204</v>
      </c>
      <c r="J28" s="2">
        <f>SUMIF(CashReceivables[Auction],A28,CashReceivables[FP Received])</f>
        <v>1180726</v>
      </c>
      <c r="K28" s="2">
        <f>SUMIF(CashReceivables[Auction],A28,CashReceivables[Total Received])</f>
        <v>2118800</v>
      </c>
      <c r="L28" s="2">
        <f>SUMIF(CashReceivables[Auction],A28,CashReceivables[Outstanding])</f>
        <v>2261477</v>
      </c>
      <c r="M28" s="8">
        <f>IF(F28=0,0,K28/F28)</f>
        <v>0.483714</v>
      </c>
    </row>
    <row r="29">
      <c r="A29" t="inlineStr" s="1">
        <is>
          <t xml:space="preserve">21979</t>
        </is>
      </c>
      <c r="B29">
        <f>COUNTIF(CashReceivables[Auction],A29)</f>
        <v>5</v>
      </c>
      <c r="C29" s="2">
        <f>SUMIF(CashReceivables[Auction],A29,CashReceivables[Material Value])</f>
        <v>817604</v>
      </c>
      <c r="D29" s="2">
        <f>SUMIF(CashReceivables[Auction],A29,CashReceivables[GST])</f>
        <v>147168</v>
      </c>
      <c r="E29" s="2">
        <f>SUMIF(CashReceivables[Auction],A29,CashReceivables[TCS])</f>
        <v>19295</v>
      </c>
      <c r="F29" s="2">
        <f>SUMIF(CashReceivables[Auction],A29,CashReceivables[Total Receivables in Cash])</f>
        <v>957770</v>
      </c>
      <c r="G29" s="2">
        <f>SUMIF(CashReceivables[Auction],A29,CashReceivables[SD Expected])</f>
        <v>204402</v>
      </c>
      <c r="H29" s="2">
        <f>SUMIF(CashReceivables[Auction],A29,CashReceivables[SD Received])</f>
        <v>204402</v>
      </c>
      <c r="I29" s="2">
        <f>SUMIF(CashReceivables[Auction],A29,CashReceivables[FP Expected])</f>
        <v>753369</v>
      </c>
      <c r="J29" s="2">
        <f>SUMIF(CashReceivables[Auction],A29,CashReceivables[FP Received])</f>
        <v>19512</v>
      </c>
      <c r="K29" s="2">
        <f>SUMIF(CashReceivables[Auction],A29,CashReceivables[Total Received])</f>
        <v>223914</v>
      </c>
      <c r="L29" s="2">
        <f>SUMIF(CashReceivables[Auction],A29,CashReceivables[Outstanding])</f>
        <v>733856</v>
      </c>
      <c r="M29" s="8">
        <f>IF(F29=0,0,K29/F29)</f>
        <v>0.233787</v>
      </c>
    </row>
    <row r="30">
      <c r="A30" t="inlineStr" s="1">
        <is>
          <t xml:space="preserve">21980</t>
        </is>
      </c>
      <c r="B30">
        <f>COUNTIF(CashReceivables[Auction],A30)</f>
        <v>8</v>
      </c>
      <c r="C30" s="2">
        <f>SUMIF(CashReceivables[Auction],A30,CashReceivables[Material Value])</f>
        <v>3011197</v>
      </c>
      <c r="D30" s="2">
        <f>SUMIF(CashReceivables[Auction],A30,CashReceivables[GST])</f>
        <v>542017</v>
      </c>
      <c r="E30" s="2">
        <f>SUMIF(CashReceivables[Auction],A30,CashReceivables[TCS])</f>
        <v>71063</v>
      </c>
      <c r="F30" s="2">
        <f>SUMIF(CashReceivables[Auction],A30,CashReceivables[Total Receivables in Cash])</f>
        <v>3493943</v>
      </c>
      <c r="G30" s="2">
        <f>SUMIF(CashReceivables[Auction],A30,CashReceivables[SD Expected])</f>
        <v>752800</v>
      </c>
      <c r="H30" s="2">
        <f>SUMIF(CashReceivables[Auction],A30,CashReceivables[SD Received])</f>
        <v>555278</v>
      </c>
      <c r="I30" s="2">
        <f>SUMIF(CashReceivables[Auction],A30,CashReceivables[FP Expected])</f>
        <v>2741142</v>
      </c>
      <c r="J30" s="2">
        <f>SUMIF(CashReceivables[Auction],A30,CashReceivables[FP Received])</f>
        <v>194568</v>
      </c>
      <c r="K30" s="2">
        <f>SUMIF(CashReceivables[Auction],A30,CashReceivables[Total Received])</f>
        <v>749846</v>
      </c>
      <c r="L30" s="2">
        <f>SUMIF(CashReceivables[Auction],A30,CashReceivables[Outstanding])</f>
        <v>2744097</v>
      </c>
      <c r="M30" s="8">
        <f>IF(F30=0,0,K30/F30)</f>
        <v>0.214613</v>
      </c>
    </row>
    <row r="31">
      <c r="A31" t="inlineStr" s="3">
        <is>
          <t xml:space="preserve">TOTAL</t>
        </is>
      </c>
      <c r="B31" s="3">
        <f>SUM(B27:B30)</f>
        <v>37</v>
      </c>
      <c r="C31" s="3">
        <f>SUM(C27:C30)</f>
        <v>15130598</v>
      </c>
      <c r="D31" s="3">
        <f>SUM(D27:D30)</f>
        <v>2723508</v>
      </c>
      <c r="E31" s="3">
        <f>SUM(E27:E30)</f>
        <v>357082</v>
      </c>
      <c r="F31" s="3">
        <f>SUM(F27:F30)</f>
        <v>17709207</v>
      </c>
      <c r="G31" s="3">
        <f>SUM(G27:G30)</f>
        <v>3782654</v>
      </c>
      <c r="H31" s="3">
        <f>SUM(H27:H30)</f>
        <v>3585132</v>
      </c>
      <c r="I31" s="3">
        <f>SUM(I27:I30)</f>
        <v>13926557</v>
      </c>
      <c r="J31" s="3">
        <f>SUM(J27:J30)</f>
        <v>7581353</v>
      </c>
      <c r="K31" s="3">
        <f>SUM(K27:K30)</f>
        <v>11166485</v>
      </c>
      <c r="L31" s="3">
        <f>SUM(L27:L30)</f>
        <v>6542724</v>
      </c>
      <c r="M31" s="8">
        <f>IF(F31=0,0,K31/F31)</f>
        <v>0.630547</v>
      </c>
    </row>
    <row r="34">
      <c r="A34" t="inlineStr" s="6">
        <is>
          <t xml:space="preserve">By Material type</t>
        </is>
      </c>
    </row>
    <row r="35">
      <c r="A35" t="inlineStr" s="4">
        <is>
          <t xml:space="preserve">Material</t>
        </is>
      </c>
      <c r="B35" t="inlineStr" s="4">
        <is>
          <t xml:space="preserve">Lots</t>
        </is>
      </c>
      <c r="C35" t="inlineStr" s="4">
        <is>
          <t xml:space="preserve">Material Value</t>
        </is>
      </c>
      <c r="D35" t="inlineStr" s="4">
        <is>
          <t xml:space="preserve">GST</t>
        </is>
      </c>
      <c r="E35" t="inlineStr" s="4">
        <is>
          <t xml:space="preserve">TCS</t>
        </is>
      </c>
      <c r="F35" t="inlineStr" s="4">
        <is>
          <t xml:space="preserve">Total Receivables in Cash</t>
        </is>
      </c>
      <c r="G35" t="inlineStr" s="4">
        <is>
          <t xml:space="preserve">SD Expected</t>
        </is>
      </c>
      <c r="H35" t="inlineStr" s="4">
        <is>
          <t xml:space="preserve">SD Received</t>
        </is>
      </c>
      <c r="I35" t="inlineStr" s="4">
        <is>
          <t xml:space="preserve">FP Expected</t>
        </is>
      </c>
      <c r="J35" t="inlineStr" s="4">
        <is>
          <t xml:space="preserve">FP Received</t>
        </is>
      </c>
      <c r="K35" t="inlineStr" s="4">
        <is>
          <t xml:space="preserve">Total Received</t>
        </is>
      </c>
      <c r="L35" t="inlineStr" s="4">
        <is>
          <t xml:space="preserve">Outstanding</t>
        </is>
      </c>
      <c r="M35" t="inlineStr" s="4">
        <is>
          <t xml:space="preserve">Collection %</t>
        </is>
      </c>
    </row>
    <row r="36">
      <c r="A36" t="inlineStr" s="1">
        <is>
          <t xml:space="preserve">Mix Scrap (Tower angles &amp; 0.2 ACSR Condutor pieces)</t>
        </is>
      </c>
      <c r="B36">
        <f>COUNTIF(CashReceivables[Material],A36)</f>
        <v>1</v>
      </c>
      <c r="C36" s="2">
        <f>SUMIF(CashReceivables[Material],A36,CashReceivables[Material Value])</f>
        <v>549400</v>
      </c>
      <c r="D36" s="2">
        <f>SUMIF(CashReceivables[Material],A36,CashReceivables[GST])</f>
        <v>98892</v>
      </c>
      <c r="E36" s="2">
        <f>SUMIF(CashReceivables[Material],A36,CashReceivables[TCS])</f>
        <v>12966</v>
      </c>
      <c r="F36" s="2">
        <f>SUMIF(CashReceivables[Material],A36,CashReceivables[Total Receivables in Cash])</f>
        <v>635381</v>
      </c>
      <c r="G36" s="2">
        <f>SUMIF(CashReceivables[Material],A36,CashReceivables[SD Expected])</f>
        <v>137350</v>
      </c>
      <c r="H36" s="2">
        <f>SUMIF(CashReceivables[Material],A36,CashReceivables[SD Received])</f>
        <v>137350</v>
      </c>
      <c r="I36" s="2">
        <f>SUMIF(CashReceivables[Material],A36,CashReceivables[FP Expected])</f>
        <v>498031</v>
      </c>
      <c r="J36" s="2">
        <f>SUMIF(CashReceivables[Material],A36,CashReceivables[FP Received])</f>
        <v>0</v>
      </c>
      <c r="K36" s="2">
        <f>SUMIF(CashReceivables[Material],A36,CashReceivables[Total Received])</f>
        <v>137350</v>
      </c>
      <c r="L36" s="2">
        <f>SUMIF(CashReceivables[Material],A36,CashReceivables[Outstanding])</f>
        <v>498031</v>
      </c>
      <c r="M36" s="8">
        <f>IF(F36=0,0,K36/F36)</f>
        <v>0.21617</v>
      </c>
    </row>
    <row r="37">
      <c r="A37" t="inlineStr" s="1">
        <is>
          <t xml:space="preserve">SCRAP 80MM² AAAC EARTHWIRE</t>
        </is>
      </c>
      <c r="B37">
        <f>COUNTIF(CashReceivables[Material],A37)</f>
        <v>1</v>
      </c>
      <c r="C37" s="2">
        <f>SUMIF(CashReceivables[Material],A37,CashReceivables[Material Value])</f>
        <v>1165500</v>
      </c>
      <c r="D37" s="2">
        <f>SUMIF(CashReceivables[Material],A37,CashReceivables[GST])</f>
        <v>209790</v>
      </c>
      <c r="E37" s="2">
        <f>SUMIF(CashReceivables[Material],A37,CashReceivables[TCS])</f>
        <v>27506</v>
      </c>
      <c r="F37" s="2">
        <f>SUMIF(CashReceivables[Material],A37,CashReceivables[Total Receivables in Cash])</f>
        <v>1347901</v>
      </c>
      <c r="G37" s="2">
        <f>SUMIF(CashReceivables[Material],A37,CashReceivables[SD Expected])</f>
        <v>291375</v>
      </c>
      <c r="H37" s="2">
        <f>SUMIF(CashReceivables[Material],A37,CashReceivables[SD Received])</f>
        <v>291375</v>
      </c>
      <c r="I37" s="2">
        <f>SUMIF(CashReceivables[Material],A37,CashReceivables[FP Expected])</f>
        <v>1056526</v>
      </c>
      <c r="J37" s="2">
        <f>SUMIF(CashReceivables[Material],A37,CashReceivables[FP Received])</f>
        <v>1056525</v>
      </c>
      <c r="K37" s="2">
        <f>SUMIF(CashReceivables[Material],A37,CashReceivables[Total Received])</f>
        <v>1347900</v>
      </c>
      <c r="L37" s="2">
        <f>SUMIF(CashReceivables[Material],A37,CashReceivables[Outstanding])</f>
        <v>1</v>
      </c>
      <c r="M37" s="8">
        <f>IF(F37=0,0,K37/F37)</f>
        <v>0.999999</v>
      </c>
    </row>
    <row r="38">
      <c r="A38" t="inlineStr" s="1">
        <is>
          <t xml:space="preserve">SCRAP ACSR CONDUCTORS (Conductor Pieces)</t>
        </is>
      </c>
      <c r="B38">
        <f>COUNTIF(CashReceivables[Material],A38)</f>
        <v>1</v>
      </c>
      <c r="C38" s="2">
        <f>SUMIF(CashReceivables[Material],A38,CashReceivables[Material Value])</f>
        <v>1646431</v>
      </c>
      <c r="D38" s="2">
        <f>SUMIF(CashReceivables[Material],A38,CashReceivables[GST])</f>
        <v>296358</v>
      </c>
      <c r="E38" s="2">
        <f>SUMIF(CashReceivables[Material],A38,CashReceivables[TCS])</f>
        <v>38856</v>
      </c>
      <c r="F38" s="2">
        <f>SUMIF(CashReceivables[Material],A38,CashReceivables[Total Receivables in Cash])</f>
        <v>1904097</v>
      </c>
      <c r="G38" s="2">
        <f>SUMIF(CashReceivables[Material],A38,CashReceivables[SD Expected])</f>
        <v>411608</v>
      </c>
      <c r="H38" s="2">
        <f>SUMIF(CashReceivables[Material],A38,CashReceivables[SD Received])</f>
        <v>411608</v>
      </c>
      <c r="I38" s="2">
        <f>SUMIF(CashReceivables[Material],A38,CashReceivables[FP Expected])</f>
        <v>1492489</v>
      </c>
      <c r="J38" s="2">
        <f>SUMIF(CashReceivables[Material],A38,CashReceivables[FP Received])</f>
        <v>0</v>
      </c>
      <c r="K38" s="2">
        <f>SUMIF(CashReceivables[Material],A38,CashReceivables[Total Received])</f>
        <v>411608</v>
      </c>
      <c r="L38" s="2">
        <f>SUMIF(CashReceivables[Material],A38,CashReceivables[Outstanding])</f>
        <v>1492489</v>
      </c>
      <c r="M38" s="8">
        <f>IF(F38=0,0,K38/F38)</f>
        <v>0.21617</v>
      </c>
    </row>
    <row r="39">
      <c r="A39" t="inlineStr" s="1">
        <is>
          <t xml:space="preserve">SCRAP COPPER OF T/F WINDING (Oil impregnated paper insulated T/F winding)</t>
        </is>
      </c>
      <c r="B39">
        <f>COUNTIF(CashReceivables[Material],A39)</f>
        <v>1</v>
      </c>
      <c r="C39" s="2">
        <f>SUMIF(CashReceivables[Material],A39,CashReceivables[Material Value])</f>
        <v>790089</v>
      </c>
      <c r="D39" s="2">
        <f>SUMIF(CashReceivables[Material],A39,CashReceivables[GST])</f>
        <v>142216</v>
      </c>
      <c r="E39" s="2">
        <f>SUMIF(CashReceivables[Material],A39,CashReceivables[TCS])</f>
        <v>18646</v>
      </c>
      <c r="F39" s="2">
        <f>SUMIF(CashReceivables[Material],A39,CashReceivables[Total Receivables in Cash])</f>
        <v>913738</v>
      </c>
      <c r="G39" s="2">
        <f>SUMIF(CashReceivables[Material],A39,CashReceivables[SD Expected])</f>
        <v>197522</v>
      </c>
      <c r="H39" s="2">
        <f>SUMIF(CashReceivables[Material],A39,CashReceivables[SD Received])</f>
        <v>0</v>
      </c>
      <c r="I39" s="2">
        <f>SUMIF(CashReceivables[Material],A39,CashReceivables[FP Expected])</f>
        <v>716215</v>
      </c>
      <c r="J39" s="2">
        <f>SUMIF(CashReceivables[Material],A39,CashReceivables[FP Received])</f>
        <v>0</v>
      </c>
      <c r="K39" s="2">
        <f>SUMIF(CashReceivables[Material],A39,CashReceivables[Total Received])</f>
        <v>0</v>
      </c>
      <c r="L39" s="2">
        <f>SUMIF(CashReceivables[Material],A39,CashReceivables[Outstanding])</f>
        <v>913738</v>
      </c>
      <c r="M39" s="8">
        <f>IF(F39=0,0,K39/F39)</f>
        <v>0</v>
      </c>
    </row>
    <row r="40">
      <c r="A40" t="inlineStr" s="1">
        <is>
          <t xml:space="preserve">Scrap Empty Oil Drum/ Barrel</t>
        </is>
      </c>
      <c r="B40">
        <f>COUNTIF(CashReceivables[Material],A40)</f>
        <v>1</v>
      </c>
      <c r="C40" s="2">
        <f>SUMIF(CashReceivables[Material],A40,CashReceivables[Material Value])</f>
        <v>517000</v>
      </c>
      <c r="D40" s="2">
        <f>SUMIF(CashReceivables[Material],A40,CashReceivables[GST])</f>
        <v>93060</v>
      </c>
      <c r="E40" s="2">
        <f>SUMIF(CashReceivables[Material],A40,CashReceivables[TCS])</f>
        <v>12201</v>
      </c>
      <c r="F40" s="2">
        <f>SUMIF(CashReceivables[Material],A40,CashReceivables[Total Receivables in Cash])</f>
        <v>608251</v>
      </c>
      <c r="G40" s="2">
        <f>SUMIF(CashReceivables[Material],A40,CashReceivables[SD Expected])</f>
        <v>129250</v>
      </c>
      <c r="H40" s="2">
        <f>SUMIF(CashReceivables[Material],A40,CashReceivables[SD Received])</f>
        <v>129250</v>
      </c>
      <c r="I40" s="2">
        <f>SUMIF(CashReceivables[Material],A40,CashReceivables[FP Expected])</f>
        <v>479001</v>
      </c>
      <c r="J40" s="2">
        <f>SUMIF(CashReceivables[Material],A40,CashReceivables[FP Received])</f>
        <v>0</v>
      </c>
      <c r="K40" s="2">
        <f>SUMIF(CashReceivables[Material],A40,CashReceivables[Total Received])</f>
        <v>129250</v>
      </c>
      <c r="L40" s="2">
        <f>SUMIF(CashReceivables[Material],A40,CashReceivables[Outstanding])</f>
        <v>479001</v>
      </c>
      <c r="M40" s="8">
        <f>IF(F40=0,0,K40/F40)</f>
        <v>0.212495</v>
      </c>
    </row>
    <row r="41">
      <c r="A41" t="inlineStr" s="1">
        <is>
          <t xml:space="preserve">Scrap of 132 KV CT</t>
        </is>
      </c>
      <c r="B41">
        <f>COUNTIF(CashReceivables[Material],A41)</f>
        <v>7</v>
      </c>
      <c r="C41" s="2">
        <f>SUMIF(CashReceivables[Material],A41,CashReceivables[Material Value])</f>
        <v>1567888</v>
      </c>
      <c r="D41" s="2">
        <f>SUMIF(CashReceivables[Material],A41,CashReceivables[GST])</f>
        <v>282221</v>
      </c>
      <c r="E41" s="2">
        <f>SUMIF(CashReceivables[Material],A41,CashReceivables[TCS])</f>
        <v>37002</v>
      </c>
      <c r="F41" s="2">
        <f>SUMIF(CashReceivables[Material],A41,CashReceivables[Total Receivables in Cash])</f>
        <v>1844622</v>
      </c>
      <c r="G41" s="2">
        <f>SUMIF(CashReceivables[Material],A41,CashReceivables[SD Expected])</f>
        <v>391972</v>
      </c>
      <c r="H41" s="2">
        <f>SUMIF(CashReceivables[Material],A41,CashReceivables[SD Received])</f>
        <v>391972</v>
      </c>
      <c r="I41" s="2">
        <f>SUMIF(CashReceivables[Material],A41,CashReceivables[FP Expected])</f>
        <v>1452649</v>
      </c>
      <c r="J41" s="2">
        <f>SUMIF(CashReceivables[Material],A41,CashReceivables[FP Received])</f>
        <v>194568</v>
      </c>
      <c r="K41" s="2">
        <f>SUMIF(CashReceivables[Material],A41,CashReceivables[Total Received])</f>
        <v>586540</v>
      </c>
      <c r="L41" s="2">
        <f>SUMIF(CashReceivables[Material],A41,CashReceivables[Outstanding])</f>
        <v>1258082</v>
      </c>
      <c r="M41" s="8">
        <f>IF(F41=0,0,K41/F41)</f>
        <v>0.317973</v>
      </c>
    </row>
    <row r="42">
      <c r="A42" t="inlineStr" s="1">
        <is>
          <t xml:space="preserve">Scrap of 132 KV Wave Trap</t>
        </is>
      </c>
      <c r="B42">
        <f>COUNTIF(CashReceivables[Material],A42)</f>
        <v>1</v>
      </c>
      <c r="C42" s="2">
        <f>SUMIF(CashReceivables[Material],A42,CashReceivables[Material Value])</f>
        <v>28002</v>
      </c>
      <c r="D42" s="2">
        <f>SUMIF(CashReceivables[Material],A42,CashReceivables[GST])</f>
        <v>5040</v>
      </c>
      <c r="E42" s="2">
        <f>SUMIF(CashReceivables[Material],A42,CashReceivables[TCS])</f>
        <v>661</v>
      </c>
      <c r="F42" s="2">
        <f>SUMIF(CashReceivables[Material],A42,CashReceivables[Total Receivables in Cash])</f>
        <v>32944</v>
      </c>
      <c r="G42" s="2">
        <f>SUMIF(CashReceivables[Material],A42,CashReceivables[SD Expected])</f>
        <v>7001</v>
      </c>
      <c r="H42" s="2">
        <f>SUMIF(CashReceivables[Material],A42,CashReceivables[SD Received])</f>
        <v>7001</v>
      </c>
      <c r="I42" s="2">
        <f>SUMIF(CashReceivables[Material],A42,CashReceivables[FP Expected])</f>
        <v>25944</v>
      </c>
      <c r="J42" s="2">
        <f>SUMIF(CashReceivables[Material],A42,CashReceivables[FP Received])</f>
        <v>0</v>
      </c>
      <c r="K42" s="2">
        <f>SUMIF(CashReceivables[Material],A42,CashReceivables[Total Received])</f>
        <v>7001</v>
      </c>
      <c r="L42" s="2">
        <f>SUMIF(CashReceivables[Material],A42,CashReceivables[Outstanding])</f>
        <v>25944</v>
      </c>
      <c r="M42" s="8">
        <f>IF(F42=0,0,K42/F42)</f>
        <v>0.212512</v>
      </c>
    </row>
    <row r="43">
      <c r="A43" t="inlineStr" s="1">
        <is>
          <t xml:space="preserve">Scrap of 145 KV CB</t>
        </is>
      </c>
      <c r="B43">
        <f>COUNTIF(CashReceivables[Material],A43)</f>
        <v>1</v>
      </c>
      <c r="C43" s="2">
        <f>SUMIF(CashReceivables[Material],A43,CashReceivables[Material Value])</f>
        <v>65007</v>
      </c>
      <c r="D43" s="2">
        <f>SUMIF(CashReceivables[Material],A43,CashReceivables[GST])</f>
        <v>11701</v>
      </c>
      <c r="E43" s="2">
        <f>SUMIF(CashReceivables[Material],A43,CashReceivables[TCS])</f>
        <v>1534</v>
      </c>
      <c r="F43" s="2">
        <f>SUMIF(CashReceivables[Material],A43,CashReceivables[Total Receivables in Cash])</f>
        <v>76481</v>
      </c>
      <c r="G43" s="2">
        <f>SUMIF(CashReceivables[Material],A43,CashReceivables[SD Expected])</f>
        <v>16252</v>
      </c>
      <c r="H43" s="2">
        <f>SUMIF(CashReceivables[Material],A43,CashReceivables[SD Received])</f>
        <v>16252</v>
      </c>
      <c r="I43" s="2">
        <f>SUMIF(CashReceivables[Material],A43,CashReceivables[FP Expected])</f>
        <v>60229</v>
      </c>
      <c r="J43" s="2">
        <f>SUMIF(CashReceivables[Material],A43,CashReceivables[FP Received])</f>
        <v>0</v>
      </c>
      <c r="K43" s="2">
        <f>SUMIF(CashReceivables[Material],A43,CashReceivables[Total Received])</f>
        <v>16252</v>
      </c>
      <c r="L43" s="2">
        <f>SUMIF(CashReceivables[Material],A43,CashReceivables[Outstanding])</f>
        <v>60229</v>
      </c>
      <c r="M43" s="8">
        <f>IF(F43=0,0,K43/F43)</f>
        <v>0.212497</v>
      </c>
    </row>
    <row r="44">
      <c r="A44" t="inlineStr" s="1">
        <is>
          <t xml:space="preserve">Scrap of 220 KV Circuit Breaker</t>
        </is>
      </c>
      <c r="B44">
        <f>COUNTIF(CashReceivables[Material],A44)</f>
        <v>2</v>
      </c>
      <c r="C44" s="2">
        <f>SUMIF(CashReceivables[Material],A44,CashReceivables[Material Value])</f>
        <v>430002</v>
      </c>
      <c r="D44" s="2">
        <f>SUMIF(CashReceivables[Material],A44,CashReceivables[GST])</f>
        <v>77400</v>
      </c>
      <c r="E44" s="2">
        <f>SUMIF(CashReceivables[Material],A44,CashReceivables[TCS])</f>
        <v>10148</v>
      </c>
      <c r="F44" s="2">
        <f>SUMIF(CashReceivables[Material],A44,CashReceivables[Total Receivables in Cash])</f>
        <v>505897</v>
      </c>
      <c r="G44" s="2">
        <f>SUMIF(CashReceivables[Material],A44,CashReceivables[SD Expected])</f>
        <v>107500</v>
      </c>
      <c r="H44" s="2">
        <f>SUMIF(CashReceivables[Material],A44,CashReceivables[SD Received])</f>
        <v>107500</v>
      </c>
      <c r="I44" s="2">
        <f>SUMIF(CashReceivables[Material],A44,CashReceivables[FP Expected])</f>
        <v>398397</v>
      </c>
      <c r="J44" s="2">
        <f>SUMIF(CashReceivables[Material],A44,CashReceivables[FP Received])</f>
        <v>0</v>
      </c>
      <c r="K44" s="2">
        <f>SUMIF(CashReceivables[Material],A44,CashReceivables[Total Received])</f>
        <v>107500</v>
      </c>
      <c r="L44" s="2">
        <f>SUMIF(CashReceivables[Material],A44,CashReceivables[Outstanding])</f>
        <v>398397</v>
      </c>
      <c r="M44" s="8">
        <f>IF(F44=0,0,K44/F44)</f>
        <v>0.212494</v>
      </c>
    </row>
    <row r="45">
      <c r="A45" t="inlineStr" s="1">
        <is>
          <t xml:space="preserve">Scrap of 220 KV CT</t>
        </is>
      </c>
      <c r="B45">
        <f>COUNTIF(CashReceivables[Material],A45)</f>
        <v>1</v>
      </c>
      <c r="C45" s="2">
        <f>SUMIF(CashReceivables[Material],A45,CashReceivables[Material Value])</f>
        <v>160012</v>
      </c>
      <c r="D45" s="2">
        <f>SUMIF(CashReceivables[Material],A45,CashReceivables[GST])</f>
        <v>28802</v>
      </c>
      <c r="E45" s="2">
        <f>SUMIF(CashReceivables[Material],A45,CashReceivables[TCS])</f>
        <v>3776</v>
      </c>
      <c r="F45" s="2">
        <f>SUMIF(CashReceivables[Material],A45,CashReceivables[Total Receivables in Cash])</f>
        <v>188254</v>
      </c>
      <c r="G45" s="2">
        <f>SUMIF(CashReceivables[Material],A45,CashReceivables[SD Expected])</f>
        <v>40003</v>
      </c>
      <c r="H45" s="2">
        <f>SUMIF(CashReceivables[Material],A45,CashReceivables[SD Received])</f>
        <v>40003</v>
      </c>
      <c r="I45" s="2">
        <f>SUMIF(CashReceivables[Material],A45,CashReceivables[FP Expected])</f>
        <v>148251</v>
      </c>
      <c r="J45" s="2">
        <f>SUMIF(CashReceivables[Material],A45,CashReceivables[FP Received])</f>
        <v>0</v>
      </c>
      <c r="K45" s="2">
        <f>SUMIF(CashReceivables[Material],A45,CashReceivables[Total Received])</f>
        <v>40003</v>
      </c>
      <c r="L45" s="2">
        <f>SUMIF(CashReceivables[Material],A45,CashReceivables[Outstanding])</f>
        <v>148251</v>
      </c>
      <c r="M45" s="8">
        <f>IF(F45=0,0,K45/F45)</f>
        <v>0.212495</v>
      </c>
    </row>
    <row r="46">
      <c r="A46" t="inlineStr" s="1">
        <is>
          <t xml:space="preserve">Scrap of 220KV CT</t>
        </is>
      </c>
      <c r="B46">
        <f>COUNTIF(CashReceivables[Material],A46)</f>
        <v>1</v>
      </c>
      <c r="C46" s="2">
        <f>SUMIF(CashReceivables[Material],A46,CashReceivables[Material Value])</f>
        <v>70006</v>
      </c>
      <c r="D46" s="2">
        <f>SUMIF(CashReceivables[Material],A46,CashReceivables[GST])</f>
        <v>12601</v>
      </c>
      <c r="E46" s="2">
        <f>SUMIF(CashReceivables[Material],A46,CashReceivables[TCS])</f>
        <v>1652</v>
      </c>
      <c r="F46" s="2">
        <f>SUMIF(CashReceivables[Material],A46,CashReceivables[Total Receivables in Cash])</f>
        <v>82362</v>
      </c>
      <c r="G46" s="2">
        <f>SUMIF(CashReceivables[Material],A46,CashReceivables[SD Expected])</f>
        <v>17502</v>
      </c>
      <c r="H46" s="2">
        <f>SUMIF(CashReceivables[Material],A46,CashReceivables[SD Received])</f>
        <v>17502</v>
      </c>
      <c r="I46" s="2">
        <f>SUMIF(CashReceivables[Material],A46,CashReceivables[FP Expected])</f>
        <v>64861</v>
      </c>
      <c r="J46" s="2">
        <f>SUMIF(CashReceivables[Material],A46,CashReceivables[FP Received])</f>
        <v>0</v>
      </c>
      <c r="K46" s="2">
        <f>SUMIF(CashReceivables[Material],A46,CashReceivables[Total Received])</f>
        <v>17502</v>
      </c>
      <c r="L46" s="2">
        <f>SUMIF(CashReceivables[Material],A46,CashReceivables[Outstanding])</f>
        <v>64860</v>
      </c>
      <c r="M46" s="8">
        <f>IF(F46=0,0,K46/F46)</f>
        <v>0.212501</v>
      </c>
    </row>
    <row r="47">
      <c r="A47" t="inlineStr" s="1">
        <is>
          <t xml:space="preserve">Scrap of 33 KV CB</t>
        </is>
      </c>
      <c r="B47">
        <f>COUNTIF(CashReceivables[Material],A47)</f>
        <v>1</v>
      </c>
      <c r="C47" s="2">
        <f>SUMIF(CashReceivables[Material],A47,CashReceivables[Material Value])</f>
        <v>54000</v>
      </c>
      <c r="D47" s="2">
        <f>SUMIF(CashReceivables[Material],A47,CashReceivables[GST])</f>
        <v>9720</v>
      </c>
      <c r="E47" s="2">
        <f>SUMIF(CashReceivables[Material],A47,CashReceivables[TCS])</f>
        <v>1274</v>
      </c>
      <c r="F47" s="2">
        <f>SUMIF(CashReceivables[Material],A47,CashReceivables[Total Receivables in Cash])</f>
        <v>63531</v>
      </c>
      <c r="G47" s="2">
        <f>SUMIF(CashReceivables[Material],A47,CashReceivables[SD Expected])</f>
        <v>13500</v>
      </c>
      <c r="H47" s="2">
        <f>SUMIF(CashReceivables[Material],A47,CashReceivables[SD Received])</f>
        <v>13500</v>
      </c>
      <c r="I47" s="2">
        <f>SUMIF(CashReceivables[Material],A47,CashReceivables[FP Expected])</f>
        <v>50031</v>
      </c>
      <c r="J47" s="2">
        <f>SUMIF(CashReceivables[Material],A47,CashReceivables[FP Received])</f>
        <v>0</v>
      </c>
      <c r="K47" s="2">
        <f>SUMIF(CashReceivables[Material],A47,CashReceivables[Total Received])</f>
        <v>13500</v>
      </c>
      <c r="L47" s="2">
        <f>SUMIF(CashReceivables[Material],A47,CashReceivables[Outstanding])</f>
        <v>50031</v>
      </c>
      <c r="M47" s="8">
        <f>IF(F47=0,0,K47/F47)</f>
        <v>0.212495</v>
      </c>
    </row>
    <row r="48">
      <c r="A48" t="inlineStr" s="1">
        <is>
          <t xml:space="preserve">Scrap of 33 KV CT</t>
        </is>
      </c>
      <c r="B48">
        <f>COUNTIF(CashReceivables[Material],A48)</f>
        <v>1</v>
      </c>
      <c r="C48" s="2">
        <f>SUMIF(CashReceivables[Material],A48,CashReceivables[Material Value])</f>
        <v>270006</v>
      </c>
      <c r="D48" s="2">
        <f>SUMIF(CashReceivables[Material],A48,CashReceivables[GST])</f>
        <v>48601</v>
      </c>
      <c r="E48" s="2">
        <f>SUMIF(CashReceivables[Material],A48,CashReceivables[TCS])</f>
        <v>6372</v>
      </c>
      <c r="F48" s="2">
        <f>SUMIF(CashReceivables[Material],A48,CashReceivables[Total Receivables in Cash])</f>
        <v>317662</v>
      </c>
      <c r="G48" s="2">
        <f>SUMIF(CashReceivables[Material],A48,CashReceivables[SD Expected])</f>
        <v>67502</v>
      </c>
      <c r="H48" s="2">
        <f>SUMIF(CashReceivables[Material],A48,CashReceivables[SD Received])</f>
        <v>67502</v>
      </c>
      <c r="I48" s="2">
        <f>SUMIF(CashReceivables[Material],A48,CashReceivables[FP Expected])</f>
        <v>250161</v>
      </c>
      <c r="J48" s="2">
        <f>SUMIF(CashReceivables[Material],A48,CashReceivables[FP Received])</f>
        <v>0</v>
      </c>
      <c r="K48" s="2">
        <f>SUMIF(CashReceivables[Material],A48,CashReceivables[Total Received])</f>
        <v>67502</v>
      </c>
      <c r="L48" s="2">
        <f>SUMIF(CashReceivables[Material],A48,CashReceivables[Outstanding])</f>
        <v>250160</v>
      </c>
      <c r="M48" s="8">
        <f>IF(F48=0,0,K48/F48)</f>
        <v>0.212496</v>
      </c>
    </row>
    <row r="49">
      <c r="A49" t="inlineStr" s="1">
        <is>
          <t xml:space="preserve">Scrap of 33 KV GCB</t>
        </is>
      </c>
      <c r="B49">
        <f>COUNTIF(CashReceivables[Material],A49)</f>
        <v>1</v>
      </c>
      <c r="C49" s="2">
        <f>SUMIF(CashReceivables[Material],A49,CashReceivables[Material Value])</f>
        <v>29502</v>
      </c>
      <c r="D49" s="2">
        <f>SUMIF(CashReceivables[Material],A49,CashReceivables[GST])</f>
        <v>5310</v>
      </c>
      <c r="E49" s="2">
        <f>SUMIF(CashReceivables[Material],A49,CashReceivables[TCS])</f>
        <v>696</v>
      </c>
      <c r="F49" s="2">
        <f>SUMIF(CashReceivables[Material],A49,CashReceivables[Total Receivables in Cash])</f>
        <v>34709</v>
      </c>
      <c r="G49" s="2">
        <f>SUMIF(CashReceivables[Material],A49,CashReceivables[SD Expected])</f>
        <v>7376</v>
      </c>
      <c r="H49" s="2">
        <f>SUMIF(CashReceivables[Material],A49,CashReceivables[SD Received])</f>
        <v>7376</v>
      </c>
      <c r="I49" s="2">
        <f>SUMIF(CashReceivables[Material],A49,CashReceivables[FP Expected])</f>
        <v>27334</v>
      </c>
      <c r="J49" s="2">
        <f>SUMIF(CashReceivables[Material],A49,CashReceivables[FP Received])</f>
        <v>0</v>
      </c>
      <c r="K49" s="2">
        <f>SUMIF(CashReceivables[Material],A49,CashReceivables[Total Received])</f>
        <v>7376</v>
      </c>
      <c r="L49" s="2">
        <f>SUMIF(CashReceivables[Material],A49,CashReceivables[Outstanding])</f>
        <v>27333</v>
      </c>
      <c r="M49" s="8">
        <f>IF(F49=0,0,K49/F49)</f>
        <v>0.21251</v>
      </c>
    </row>
    <row r="50">
      <c r="A50" t="inlineStr" s="1">
        <is>
          <t xml:space="preserve">Scrap of 66 KV Isolater</t>
        </is>
      </c>
      <c r="B50">
        <f>COUNTIF(CashReceivables[Material],A50)</f>
        <v>1</v>
      </c>
      <c r="C50" s="2">
        <f>SUMIF(CashReceivables[Material],A50,CashReceivables[Material Value])</f>
        <v>75003</v>
      </c>
      <c r="D50" s="2">
        <f>SUMIF(CashReceivables[Material],A50,CashReceivables[GST])</f>
        <v>13501</v>
      </c>
      <c r="E50" s="2">
        <f>SUMIF(CashReceivables[Material],A50,CashReceivables[TCS])</f>
        <v>1770</v>
      </c>
      <c r="F50" s="2">
        <f>SUMIF(CashReceivables[Material],A50,CashReceivables[Total Receivables in Cash])</f>
        <v>88241</v>
      </c>
      <c r="G50" s="2">
        <f>SUMIF(CashReceivables[Material],A50,CashReceivables[SD Expected])</f>
        <v>18751</v>
      </c>
      <c r="H50" s="2">
        <f>SUMIF(CashReceivables[Material],A50,CashReceivables[SD Received])</f>
        <v>18751</v>
      </c>
      <c r="I50" s="2">
        <f>SUMIF(CashReceivables[Material],A50,CashReceivables[FP Expected])</f>
        <v>69490</v>
      </c>
      <c r="J50" s="2">
        <f>SUMIF(CashReceivables[Material],A50,CashReceivables[FP Received])</f>
        <v>0</v>
      </c>
      <c r="K50" s="2">
        <f>SUMIF(CashReceivables[Material],A50,CashReceivables[Total Received])</f>
        <v>18751</v>
      </c>
      <c r="L50" s="2">
        <f>SUMIF(CashReceivables[Material],A50,CashReceivables[Outstanding])</f>
        <v>69490</v>
      </c>
      <c r="M50" s="8">
        <f>IF(F50=0,0,K50/F50)</f>
        <v>0.212498</v>
      </c>
    </row>
    <row r="51">
      <c r="A51" t="inlineStr" s="1">
        <is>
          <t xml:space="preserve">Scrap of 66 kv TBC C &amp; R Panel</t>
        </is>
      </c>
      <c r="B51">
        <f>COUNTIF(CashReceivables[Material],A51)</f>
        <v>1</v>
      </c>
      <c r="C51" s="2">
        <f>SUMIF(CashReceivables[Material],A51,CashReceivables[Material Value])</f>
        <v>30012</v>
      </c>
      <c r="D51" s="2">
        <f>SUMIF(CashReceivables[Material],A51,CashReceivables[GST])</f>
        <v>5402</v>
      </c>
      <c r="E51" s="2">
        <f>SUMIF(CashReceivables[Material],A51,CashReceivables[TCS])</f>
        <v>708</v>
      </c>
      <c r="F51" s="2">
        <f>SUMIF(CashReceivables[Material],A51,CashReceivables[Total Receivables in Cash])</f>
        <v>35309</v>
      </c>
      <c r="G51" s="2">
        <f>SUMIF(CashReceivables[Material],A51,CashReceivables[SD Expected])</f>
        <v>7503</v>
      </c>
      <c r="H51" s="2">
        <f>SUMIF(CashReceivables[Material],A51,CashReceivables[SD Received])</f>
        <v>7503</v>
      </c>
      <c r="I51" s="2">
        <f>SUMIF(CashReceivables[Material],A51,CashReceivables[FP Expected])</f>
        <v>27806</v>
      </c>
      <c r="J51" s="2">
        <f>SUMIF(CashReceivables[Material],A51,CashReceivables[FP Received])</f>
        <v>0</v>
      </c>
      <c r="K51" s="2">
        <f>SUMIF(CashReceivables[Material],A51,CashReceivables[Total Received])</f>
        <v>7503</v>
      </c>
      <c r="L51" s="2">
        <f>SUMIF(CashReceivables[Material],A51,CashReceivables[Outstanding])</f>
        <v>27806</v>
      </c>
      <c r="M51" s="8">
        <f>IF(F51=0,0,K51/F51)</f>
        <v>0.212495</v>
      </c>
    </row>
    <row r="52">
      <c r="A52" t="inlineStr" s="1">
        <is>
          <t xml:space="preserve">Scrap of AAAC Earth wire</t>
        </is>
      </c>
      <c r="B52">
        <f>COUNTIF(CashReceivables[Material],A52)</f>
        <v>1</v>
      </c>
      <c r="C52" s="2">
        <f>SUMIF(CashReceivables[Material],A52,CashReceivables[Material Value])</f>
        <v>207030</v>
      </c>
      <c r="D52" s="2">
        <f>SUMIF(CashReceivables[Material],A52,CashReceivables[GST])</f>
        <v>37265</v>
      </c>
      <c r="E52" s="2">
        <f>SUMIF(CashReceivables[Material],A52,CashReceivables[TCS])</f>
        <v>4886</v>
      </c>
      <c r="F52" s="2">
        <f>SUMIF(CashReceivables[Material],A52,CashReceivables[Total Receivables in Cash])</f>
        <v>239430</v>
      </c>
      <c r="G52" s="2">
        <f>SUMIF(CashReceivables[Material],A52,CashReceivables[SD Expected])</f>
        <v>51758</v>
      </c>
      <c r="H52" s="2">
        <f>SUMIF(CashReceivables[Material],A52,CashReceivables[SD Received])</f>
        <v>51758</v>
      </c>
      <c r="I52" s="2">
        <f>SUMIF(CashReceivables[Material],A52,CashReceivables[FP Expected])</f>
        <v>187672</v>
      </c>
      <c r="J52" s="2">
        <f>SUMIF(CashReceivables[Material],A52,CashReceivables[FP Received])</f>
        <v>0</v>
      </c>
      <c r="K52" s="2">
        <f>SUMIF(CashReceivables[Material],A52,CashReceivables[Total Received])</f>
        <v>51758</v>
      </c>
      <c r="L52" s="2">
        <f>SUMIF(CashReceivables[Material],A52,CashReceivables[Outstanding])</f>
        <v>187672</v>
      </c>
      <c r="M52" s="8">
        <f>IF(F52=0,0,K52/F52)</f>
        <v>0.216172</v>
      </c>
    </row>
    <row r="53">
      <c r="A53" t="inlineStr" s="1">
        <is>
          <t xml:space="preserve">Scrap of Copper of faulty AC compressor</t>
        </is>
      </c>
      <c r="B53">
        <f>COUNTIF(CashReceivables[Material],A53)</f>
        <v>1</v>
      </c>
      <c r="C53" s="2">
        <f>SUMIF(CashReceivables[Material],A53,CashReceivables[Material Value])</f>
        <v>40768</v>
      </c>
      <c r="D53" s="2">
        <f>SUMIF(CashReceivables[Material],A53,CashReceivables[GST])</f>
        <v>7338</v>
      </c>
      <c r="E53" s="2">
        <f>SUMIF(CashReceivables[Material],A53,CashReceivables[TCS])</f>
        <v>962</v>
      </c>
      <c r="F53" s="2">
        <f>SUMIF(CashReceivables[Material],A53,CashReceivables[Total Receivables in Cash])</f>
        <v>47149</v>
      </c>
      <c r="G53" s="2">
        <f>SUMIF(CashReceivables[Material],A53,CashReceivables[SD Expected])</f>
        <v>10192</v>
      </c>
      <c r="H53" s="2">
        <f>SUMIF(CashReceivables[Material],A53,CashReceivables[SD Received])</f>
        <v>10192</v>
      </c>
      <c r="I53" s="2">
        <f>SUMIF(CashReceivables[Material],A53,CashReceivables[FP Expected])</f>
        <v>36957</v>
      </c>
      <c r="J53" s="2">
        <f>SUMIF(CashReceivables[Material],A53,CashReceivables[FP Received])</f>
        <v>0</v>
      </c>
      <c r="K53" s="2">
        <f>SUMIF(CashReceivables[Material],A53,CashReceivables[Total Received])</f>
        <v>10192</v>
      </c>
      <c r="L53" s="2">
        <f>SUMIF(CashReceivables[Material],A53,CashReceivables[Outstanding])</f>
        <v>36957</v>
      </c>
      <c r="M53" s="8">
        <f>IF(F53=0,0,K53/F53)</f>
        <v>0.216166</v>
      </c>
    </row>
    <row r="54">
      <c r="A54" t="inlineStr" s="1">
        <is>
          <t xml:space="preserve">Scrap of empty oil Barrel</t>
        </is>
      </c>
      <c r="B54">
        <f>COUNTIF(CashReceivables[Material],A54)</f>
        <v>1</v>
      </c>
      <c r="C54" s="2">
        <f>SUMIF(CashReceivables[Material],A54,CashReceivables[Material Value])</f>
        <v>15400</v>
      </c>
      <c r="D54" s="2">
        <f>SUMIF(CashReceivables[Material],A54,CashReceivables[GST])</f>
        <v>2772</v>
      </c>
      <c r="E54" s="2">
        <f>SUMIF(CashReceivables[Material],A54,CashReceivables[TCS])</f>
        <v>363</v>
      </c>
      <c r="F54" s="2">
        <f>SUMIF(CashReceivables[Material],A54,CashReceivables[Total Receivables in Cash])</f>
        <v>18118</v>
      </c>
      <c r="G54" s="2">
        <f>SUMIF(CashReceivables[Material],A54,CashReceivables[SD Expected])</f>
        <v>3850</v>
      </c>
      <c r="H54" s="2">
        <f>SUMIF(CashReceivables[Material],A54,CashReceivables[SD Received])</f>
        <v>3850</v>
      </c>
      <c r="I54" s="2">
        <f>SUMIF(CashReceivables[Material],A54,CashReceivables[FP Expected])</f>
        <v>14268</v>
      </c>
      <c r="J54" s="2">
        <f>SUMIF(CashReceivables[Material],A54,CashReceivables[FP Received])</f>
        <v>14267</v>
      </c>
      <c r="K54" s="2">
        <f>SUMIF(CashReceivables[Material],A54,CashReceivables[Total Received])</f>
        <v>18117</v>
      </c>
      <c r="L54" s="2">
        <f>SUMIF(CashReceivables[Material],A54,CashReceivables[Outstanding])</f>
        <v>1</v>
      </c>
      <c r="M54" s="8">
        <f>IF(F54=0,0,K54/F54)</f>
        <v>0.999945</v>
      </c>
    </row>
    <row r="55">
      <c r="A55" t="inlineStr" s="1">
        <is>
          <t xml:space="preserve">Scrap of empty oil Barrels</t>
        </is>
      </c>
      <c r="B55">
        <f>COUNTIF(CashReceivables[Material],A55)</f>
        <v>3</v>
      </c>
      <c r="C55" s="2">
        <f>SUMIF(CashReceivables[Material],A55,CashReceivables[Material Value])</f>
        <v>160550</v>
      </c>
      <c r="D55" s="2">
        <f>SUMIF(CashReceivables[Material],A55,CashReceivables[GST])</f>
        <v>28899</v>
      </c>
      <c r="E55" s="2">
        <f>SUMIF(CashReceivables[Material],A55,CashReceivables[TCS])</f>
        <v>3790</v>
      </c>
      <c r="F55" s="2">
        <f>SUMIF(CashReceivables[Material],A55,CashReceivables[Total Receivables in Cash])</f>
        <v>188888</v>
      </c>
      <c r="G55" s="2">
        <f>SUMIF(CashReceivables[Material],A55,CashReceivables[SD Expected])</f>
        <v>40138</v>
      </c>
      <c r="H55" s="2">
        <f>SUMIF(CashReceivables[Material],A55,CashReceivables[SD Received])</f>
        <v>40138</v>
      </c>
      <c r="I55" s="2">
        <f>SUMIF(CashReceivables[Material],A55,CashReceivables[FP Expected])</f>
        <v>148751</v>
      </c>
      <c r="J55" s="2">
        <f>SUMIF(CashReceivables[Material],A55,CashReceivables[FP Received])</f>
        <v>124201</v>
      </c>
      <c r="K55" s="2">
        <f>SUMIF(CashReceivables[Material],A55,CashReceivables[Total Received])</f>
        <v>164339</v>
      </c>
      <c r="L55" s="2">
        <f>SUMIF(CashReceivables[Material],A55,CashReceivables[Outstanding])</f>
        <v>24550</v>
      </c>
      <c r="M55" s="8">
        <f>IF(F55=0,0,K55/F55)</f>
        <v>0.870034</v>
      </c>
    </row>
    <row r="56">
      <c r="A56" t="inlineStr" s="1">
        <is>
          <t xml:space="preserve">Scrap of Empty oil Barrels</t>
        </is>
      </c>
      <c r="B56">
        <f>COUNTIF(CashReceivables[Material],A56)</f>
        <v>1</v>
      </c>
      <c r="C56" s="2">
        <f>SUMIF(CashReceivables[Material],A56,CashReceivables[Material Value])</f>
        <v>21060</v>
      </c>
      <c r="D56" s="2">
        <f>SUMIF(CashReceivables[Material],A56,CashReceivables[GST])</f>
        <v>3791</v>
      </c>
      <c r="E56" s="2">
        <f>SUMIF(CashReceivables[Material],A56,CashReceivables[TCS])</f>
        <v>497</v>
      </c>
      <c r="F56" s="2">
        <f>SUMIF(CashReceivables[Material],A56,CashReceivables[Total Receivables in Cash])</f>
        <v>24777</v>
      </c>
      <c r="G56" s="2">
        <f>SUMIF(CashReceivables[Material],A56,CashReceivables[SD Expected])</f>
        <v>5265</v>
      </c>
      <c r="H56" s="2">
        <f>SUMIF(CashReceivables[Material],A56,CashReceivables[SD Received])</f>
        <v>5265</v>
      </c>
      <c r="I56" s="2">
        <f>SUMIF(CashReceivables[Material],A56,CashReceivables[FP Expected])</f>
        <v>19512</v>
      </c>
      <c r="J56" s="2">
        <f>SUMIF(CashReceivables[Material],A56,CashReceivables[FP Received])</f>
        <v>19512</v>
      </c>
      <c r="K56" s="2">
        <f>SUMIF(CashReceivables[Material],A56,CashReceivables[Total Received])</f>
        <v>24777</v>
      </c>
      <c r="L56" s="2">
        <f>SUMIF(CashReceivables[Material],A56,CashReceivables[Outstanding])</f>
        <v>0</v>
      </c>
      <c r="M56" s="8">
        <f>IF(F56=0,0,K56/F56)</f>
        <v>1</v>
      </c>
    </row>
    <row r="57">
      <c r="A57" t="inlineStr" s="1">
        <is>
          <t xml:space="preserve">Scrap of empty oil Druam</t>
        </is>
      </c>
      <c r="B57">
        <f>COUNTIF(CashReceivables[Material],A57)</f>
        <v>1</v>
      </c>
      <c r="C57" s="2">
        <f>SUMIF(CashReceivables[Material],A57,CashReceivables[Material Value])</f>
        <v>135750</v>
      </c>
      <c r="D57" s="2">
        <f>SUMIF(CashReceivables[Material],A57,CashReceivables[GST])</f>
        <v>24435</v>
      </c>
      <c r="E57" s="2">
        <f>SUMIF(CashReceivables[Material],A57,CashReceivables[TCS])</f>
        <v>3204</v>
      </c>
      <c r="F57" s="2">
        <f>SUMIF(CashReceivables[Material],A57,CashReceivables[Total Receivables in Cash])</f>
        <v>159710</v>
      </c>
      <c r="G57" s="2">
        <f>SUMIF(CashReceivables[Material],A57,CashReceivables[SD Expected])</f>
        <v>33938</v>
      </c>
      <c r="H57" s="2">
        <f>SUMIF(CashReceivables[Material],A57,CashReceivables[SD Received])</f>
        <v>33938</v>
      </c>
      <c r="I57" s="2">
        <f>SUMIF(CashReceivables[Material],A57,CashReceivables[FP Expected])</f>
        <v>125772</v>
      </c>
      <c r="J57" s="2">
        <f>SUMIF(CashReceivables[Material],A57,CashReceivables[FP Received])</f>
        <v>0</v>
      </c>
      <c r="K57" s="2">
        <f>SUMIF(CashReceivables[Material],A57,CashReceivables[Total Received])</f>
        <v>33938</v>
      </c>
      <c r="L57" s="2">
        <f>SUMIF(CashReceivables[Material],A57,CashReceivables[Outstanding])</f>
        <v>125772</v>
      </c>
      <c r="M57" s="8">
        <f>IF(F57=0,0,K57/F57)</f>
        <v>0.212498</v>
      </c>
    </row>
    <row r="58">
      <c r="A58" t="inlineStr" s="1">
        <is>
          <t xml:space="preserve">Scrap of Empty oil drum</t>
        </is>
      </c>
      <c r="B58">
        <f>COUNTIF(CashReceivables[Material],A58)</f>
        <v>1</v>
      </c>
      <c r="C58" s="2">
        <f>SUMIF(CashReceivables[Material],A58,CashReceivables[Material Value])</f>
        <v>156600</v>
      </c>
      <c r="D58" s="2">
        <f>SUMIF(CashReceivables[Material],A58,CashReceivables[GST])</f>
        <v>28188</v>
      </c>
      <c r="E58" s="2">
        <f>SUMIF(CashReceivables[Material],A58,CashReceivables[TCS])</f>
        <v>3696</v>
      </c>
      <c r="F58" s="2">
        <f>SUMIF(CashReceivables[Material],A58,CashReceivables[Total Receivables in Cash])</f>
        <v>184240</v>
      </c>
      <c r="G58" s="2">
        <f>SUMIF(CashReceivables[Material],A58,CashReceivables[SD Expected])</f>
        <v>39150</v>
      </c>
      <c r="H58" s="2">
        <f>SUMIF(CashReceivables[Material],A58,CashReceivables[SD Received])</f>
        <v>39150</v>
      </c>
      <c r="I58" s="2">
        <f>SUMIF(CashReceivables[Material],A58,CashReceivables[FP Expected])</f>
        <v>145090</v>
      </c>
      <c r="J58" s="2">
        <f>SUMIF(CashReceivables[Material],A58,CashReceivables[FP Received])</f>
        <v>0</v>
      </c>
      <c r="K58" s="2">
        <f>SUMIF(CashReceivables[Material],A58,CashReceivables[Total Received])</f>
        <v>39150</v>
      </c>
      <c r="L58" s="2">
        <f>SUMIF(CashReceivables[Material],A58,CashReceivables[Outstanding])</f>
        <v>145090</v>
      </c>
      <c r="M58" s="8">
        <f>IF(F58=0,0,K58/F58)</f>
        <v>0.212495</v>
      </c>
    </row>
    <row r="59">
      <c r="A59" t="inlineStr" s="1">
        <is>
          <t xml:space="preserve">Scrap of empty oil drums</t>
        </is>
      </c>
      <c r="B59">
        <f>COUNTIF(CashReceivables[Material],A59)</f>
        <v>2</v>
      </c>
      <c r="C59" s="2">
        <f>SUMIF(CashReceivables[Material],A59,CashReceivables[Material Value])</f>
        <v>103150</v>
      </c>
      <c r="D59" s="2">
        <f>SUMIF(CashReceivables[Material],A59,CashReceivables[GST])</f>
        <v>18567</v>
      </c>
      <c r="E59" s="2">
        <f>SUMIF(CashReceivables[Material],A59,CashReceivables[TCS])</f>
        <v>2434</v>
      </c>
      <c r="F59" s="2">
        <f>SUMIF(CashReceivables[Material],A59,CashReceivables[Total Receivables in Cash])</f>
        <v>121356</v>
      </c>
      <c r="G59" s="2">
        <f>SUMIF(CashReceivables[Material],A59,CashReceivables[SD Expected])</f>
        <v>25788</v>
      </c>
      <c r="H59" s="2">
        <f>SUMIF(CashReceivables[Material],A59,CashReceivables[SD Received])</f>
        <v>25788</v>
      </c>
      <c r="I59" s="2">
        <f>SUMIF(CashReceivables[Material],A59,CashReceivables[FP Expected])</f>
        <v>95569</v>
      </c>
      <c r="J59" s="2">
        <f>SUMIF(CashReceivables[Material],A59,CashReceivables[FP Received])</f>
        <v>16214</v>
      </c>
      <c r="K59" s="2">
        <f>SUMIF(CashReceivables[Material],A59,CashReceivables[Total Received])</f>
        <v>42002</v>
      </c>
      <c r="L59" s="2">
        <f>SUMIF(CashReceivables[Material],A59,CashReceivables[Outstanding])</f>
        <v>79354</v>
      </c>
      <c r="M59" s="8">
        <f>IF(F59=0,0,K59/F59)</f>
        <v>0.346106</v>
      </c>
    </row>
    <row r="60">
      <c r="A60" t="inlineStr" s="1">
        <is>
          <t xml:space="preserve">Scrap of MS (extracted from equip cage and empty Sf6 gas cylinder)</t>
        </is>
      </c>
      <c r="B60">
        <f>COUNTIF(CashReceivables[Material],A60)</f>
        <v>1</v>
      </c>
      <c r="C60" s="2">
        <f>SUMIF(CashReceivables[Material],A60,CashReceivables[Material Value])</f>
        <v>198000</v>
      </c>
      <c r="D60" s="2">
        <f>SUMIF(CashReceivables[Material],A60,CashReceivables[GST])</f>
        <v>35640</v>
      </c>
      <c r="E60" s="2">
        <f>SUMIF(CashReceivables[Material],A60,CashReceivables[TCS])</f>
        <v>4673</v>
      </c>
      <c r="F60" s="2">
        <f>SUMIF(CashReceivables[Material],A60,CashReceivables[Total Receivables in Cash])</f>
        <v>228987</v>
      </c>
      <c r="G60" s="2">
        <f>SUMIF(CashReceivables[Material],A60,CashReceivables[SD Expected])</f>
        <v>49500</v>
      </c>
      <c r="H60" s="2">
        <f>SUMIF(CashReceivables[Material],A60,CashReceivables[SD Received])</f>
        <v>49500</v>
      </c>
      <c r="I60" s="2">
        <f>SUMIF(CashReceivables[Material],A60,CashReceivables[FP Expected])</f>
        <v>179487</v>
      </c>
      <c r="J60" s="2">
        <f>SUMIF(CashReceivables[Material],A60,CashReceivables[FP Received])</f>
        <v>0</v>
      </c>
      <c r="K60" s="2">
        <f>SUMIF(CashReceivables[Material],A60,CashReceivables[Total Received])</f>
        <v>49500</v>
      </c>
      <c r="L60" s="2">
        <f>SUMIF(CashReceivables[Material],A60,CashReceivables[Outstanding])</f>
        <v>179487</v>
      </c>
      <c r="M60" s="8">
        <f>IF(F60=0,0,K60/F60)</f>
        <v>0.216169</v>
      </c>
    </row>
    <row r="61">
      <c r="A61" t="inlineStr" s="1">
        <is>
          <t xml:space="preserve">Scrap Power Transformer</t>
        </is>
      </c>
      <c r="B61">
        <f>COUNTIF(CashReceivables[Material],A61)</f>
        <v>1</v>
      </c>
      <c r="C61" s="2">
        <f>SUMIF(CashReceivables[Material],A61,CashReceivables[Material Value])</f>
        <v>2787314</v>
      </c>
      <c r="D61" s="2">
        <f>SUMIF(CashReceivables[Material],A61,CashReceivables[GST])</f>
        <v>501717</v>
      </c>
      <c r="E61" s="2">
        <f>SUMIF(CashReceivables[Material],A61,CashReceivables[TCS])</f>
        <v>65781</v>
      </c>
      <c r="F61" s="2">
        <f>SUMIF(CashReceivables[Material],A61,CashReceivables[Total Receivables in Cash])</f>
        <v>3279275</v>
      </c>
      <c r="G61" s="2">
        <f>SUMIF(CashReceivables[Material],A61,CashReceivables[SD Expected])</f>
        <v>696829</v>
      </c>
      <c r="H61" s="2">
        <f>SUMIF(CashReceivables[Material],A61,CashReceivables[SD Received])</f>
        <v>696829</v>
      </c>
      <c r="I61" s="2">
        <f>SUMIF(CashReceivables[Material],A61,CashReceivables[FP Expected])</f>
        <v>2582446</v>
      </c>
      <c r="J61" s="2">
        <f>SUMIF(CashReceivables[Material],A61,CashReceivables[FP Received])</f>
        <v>2582447</v>
      </c>
      <c r="K61" s="2">
        <f>SUMIF(CashReceivables[Material],A61,CashReceivables[Total Received])</f>
        <v>3279276</v>
      </c>
      <c r="L61" s="2">
        <f>SUMIF(CashReceivables[Material],A61,CashReceivables[Outstanding])</f>
        <v>-1</v>
      </c>
      <c r="M61" s="8">
        <f>IF(F61=0,0,K61/F61)</f>
        <v>1</v>
      </c>
    </row>
    <row r="62">
      <c r="A62" t="inlineStr" s="1">
        <is>
          <t xml:space="preserve">SCRAP POWER TRANSFORMER</t>
        </is>
      </c>
      <c r="B62">
        <f>COUNTIF(CashReceivables[Material],A62)</f>
        <v>1</v>
      </c>
      <c r="C62" s="2">
        <f>SUMIF(CashReceivables[Material],A62,CashReceivables[Material Value])</f>
        <v>3857116</v>
      </c>
      <c r="D62" s="2">
        <f>SUMIF(CashReceivables[Material],A62,CashReceivables[GST])</f>
        <v>694281</v>
      </c>
      <c r="E62" s="2">
        <f>SUMIF(CashReceivables[Material],A62,CashReceivables[TCS])</f>
        <v>91028</v>
      </c>
      <c r="F62" s="2">
        <f>SUMIF(CashReceivables[Material],A62,CashReceivables[Total Receivables in Cash])</f>
        <v>4537897</v>
      </c>
      <c r="G62" s="2">
        <f>SUMIF(CashReceivables[Material],A62,CashReceivables[SD Expected])</f>
        <v>964279</v>
      </c>
      <c r="H62" s="2">
        <f>SUMIF(CashReceivables[Material],A62,CashReceivables[SD Received])</f>
        <v>964279</v>
      </c>
      <c r="I62" s="2">
        <f>SUMIF(CashReceivables[Material],A62,CashReceivables[FP Expected])</f>
        <v>3573618</v>
      </c>
      <c r="J62" s="2">
        <f>SUMIF(CashReceivables[Material],A62,CashReceivables[FP Received])</f>
        <v>3573619</v>
      </c>
      <c r="K62" s="2">
        <f>SUMIF(CashReceivables[Material],A62,CashReceivables[Total Received])</f>
        <v>4537898</v>
      </c>
      <c r="L62" s="2">
        <f>SUMIF(CashReceivables[Material],A62,CashReceivables[Outstanding])</f>
        <v>-1</v>
      </c>
      <c r="M62" s="8">
        <f>IF(F62=0,0,K62/F62)</f>
        <v>1</v>
      </c>
    </row>
    <row r="63">
      <c r="A63" t="inlineStr" s="3">
        <is>
          <t xml:space="preserve">TOTAL</t>
        </is>
      </c>
      <c r="B63" s="3">
        <f>SUM(B36:B62)</f>
        <v>37</v>
      </c>
      <c r="C63" s="3">
        <f>SUM(C36:C62)</f>
        <v>15130598</v>
      </c>
      <c r="D63" s="3">
        <f>SUM(D36:D62)</f>
        <v>2723508</v>
      </c>
      <c r="E63" s="3">
        <f>SUM(E36:E62)</f>
        <v>357082</v>
      </c>
      <c r="F63" s="3">
        <f>SUM(F36:F62)</f>
        <v>17709207</v>
      </c>
      <c r="G63" s="3">
        <f>SUM(G36:G62)</f>
        <v>3782654</v>
      </c>
      <c r="H63" s="3">
        <f>SUM(H36:H62)</f>
        <v>3585132</v>
      </c>
      <c r="I63" s="3">
        <f>SUM(I36:I62)</f>
        <v>13926557</v>
      </c>
      <c r="J63" s="3">
        <f>SUM(J36:J62)</f>
        <v>7581353</v>
      </c>
      <c r="K63" s="3">
        <f>SUM(K36:K62)</f>
        <v>11166485</v>
      </c>
      <c r="L63" s="3">
        <f>SUM(L36:L62)</f>
        <v>6542724</v>
      </c>
      <c r="M63" s="8">
        <f>IF(F63=0,0,K63/F63)</f>
        <v>0.630547</v>
      </c>
    </row>
    <row r="66">
      <c r="A66" t="inlineStr" s="6">
        <is>
          <t xml:space="preserve">By Unit</t>
        </is>
      </c>
    </row>
    <row r="67">
      <c r="A67" t="inlineStr" s="4">
        <is>
          <t xml:space="preserve">Unit</t>
        </is>
      </c>
      <c r="B67" t="inlineStr" s="4">
        <is>
          <t xml:space="preserve">Lots</t>
        </is>
      </c>
      <c r="C67" t="inlineStr" s="4">
        <is>
          <t xml:space="preserve">Material Value</t>
        </is>
      </c>
      <c r="D67" t="inlineStr" s="4">
        <is>
          <t xml:space="preserve">GST</t>
        </is>
      </c>
      <c r="E67" t="inlineStr" s="4">
        <is>
          <t xml:space="preserve">TCS</t>
        </is>
      </c>
      <c r="F67" t="inlineStr" s="4">
        <is>
          <t xml:space="preserve">Total Receivables in Cash</t>
        </is>
      </c>
      <c r="G67" t="inlineStr" s="4">
        <is>
          <t xml:space="preserve">SD Expected</t>
        </is>
      </c>
      <c r="H67" t="inlineStr" s="4">
        <is>
          <t xml:space="preserve">SD Received</t>
        </is>
      </c>
      <c r="I67" t="inlineStr" s="4">
        <is>
          <t xml:space="preserve">FP Expected</t>
        </is>
      </c>
      <c r="J67" t="inlineStr" s="4">
        <is>
          <t xml:space="preserve">FP Received</t>
        </is>
      </c>
      <c r="K67" t="inlineStr" s="4">
        <is>
          <t xml:space="preserve">Total Received</t>
        </is>
      </c>
      <c r="L67" t="inlineStr" s="4">
        <is>
          <t xml:space="preserve">Outstanding</t>
        </is>
      </c>
      <c r="M67" t="inlineStr" s="4">
        <is>
          <t xml:space="preserve">Collection %</t>
        </is>
      </c>
    </row>
    <row r="68">
      <c r="A68" t="inlineStr" s="1">
        <is>
          <t xml:space="preserve">KG</t>
        </is>
      </c>
      <c r="B68">
        <f>COUNTIF(CashReceivables[Unit],A68)</f>
        <v>6</v>
      </c>
      <c r="C68" s="2">
        <f>SUMIF(CashReceivables[Unit],A68,CashReceivables[Material Value])</f>
        <v>4047818</v>
      </c>
      <c r="D68" s="2">
        <f>SUMIF(CashReceivables[Unit],A68,CashReceivables[GST])</f>
        <v>728607</v>
      </c>
      <c r="E68" s="2">
        <f>SUMIF(CashReceivables[Unit],A68,CashReceivables[TCS])</f>
        <v>95529</v>
      </c>
      <c r="F68" s="2">
        <f>SUMIF(CashReceivables[Unit],A68,CashReceivables[Total Receivables in Cash])</f>
        <v>4681302</v>
      </c>
      <c r="G68" s="2">
        <f>SUMIF(CashReceivables[Unit],A68,CashReceivables[SD Expected])</f>
        <v>1011955</v>
      </c>
      <c r="H68" s="2">
        <f>SUMIF(CashReceivables[Unit],A68,CashReceivables[SD Received])</f>
        <v>814433</v>
      </c>
      <c r="I68" s="2">
        <f>SUMIF(CashReceivables[Unit],A68,CashReceivables[FP Expected])</f>
        <v>3669346</v>
      </c>
      <c r="J68" s="2">
        <f>SUMIF(CashReceivables[Unit],A68,CashReceivables[FP Received])</f>
        <v>1056525</v>
      </c>
      <c r="K68" s="2">
        <f>SUMIF(CashReceivables[Unit],A68,CashReceivables[Total Received])</f>
        <v>1870958</v>
      </c>
      <c r="L68" s="2">
        <f>SUMIF(CashReceivables[Unit],A68,CashReceivables[Outstanding])</f>
        <v>2810344</v>
      </c>
      <c r="M68" s="8">
        <f>IF(F68=0,0,K68/F68)</f>
        <v>0.399666</v>
      </c>
    </row>
    <row r="69">
      <c r="A69" t="inlineStr" s="1">
        <is>
          <t xml:space="preserve">MT</t>
        </is>
      </c>
      <c r="B69">
        <f>COUNTIF(CashReceivables[Unit],A69)</f>
        <v>1</v>
      </c>
      <c r="C69" s="2">
        <f>SUMIF(CashReceivables[Unit],A69,CashReceivables[Material Value])</f>
        <v>549400</v>
      </c>
      <c r="D69" s="2">
        <f>SUMIF(CashReceivables[Unit],A69,CashReceivables[GST])</f>
        <v>98892</v>
      </c>
      <c r="E69" s="2">
        <f>SUMIF(CashReceivables[Unit],A69,CashReceivables[TCS])</f>
        <v>12966</v>
      </c>
      <c r="F69" s="2">
        <f>SUMIF(CashReceivables[Unit],A69,CashReceivables[Total Receivables in Cash])</f>
        <v>635381</v>
      </c>
      <c r="G69" s="2">
        <f>SUMIF(CashReceivables[Unit],A69,CashReceivables[SD Expected])</f>
        <v>137350</v>
      </c>
      <c r="H69" s="2">
        <f>SUMIF(CashReceivables[Unit],A69,CashReceivables[SD Received])</f>
        <v>137350</v>
      </c>
      <c r="I69" s="2">
        <f>SUMIF(CashReceivables[Unit],A69,CashReceivables[FP Expected])</f>
        <v>498031</v>
      </c>
      <c r="J69" s="2">
        <f>SUMIF(CashReceivables[Unit],A69,CashReceivables[FP Received])</f>
        <v>0</v>
      </c>
      <c r="K69" s="2">
        <f>SUMIF(CashReceivables[Unit],A69,CashReceivables[Total Received])</f>
        <v>137350</v>
      </c>
      <c r="L69" s="2">
        <f>SUMIF(CashReceivables[Unit],A69,CashReceivables[Outstanding])</f>
        <v>498031</v>
      </c>
      <c r="M69" s="8">
        <f>IF(F69=0,0,K69/F69)</f>
        <v>0.21617</v>
      </c>
    </row>
    <row r="70">
      <c r="A70" t="inlineStr" s="1">
        <is>
          <t xml:space="preserve">NO</t>
        </is>
      </c>
      <c r="B70">
        <f>COUNTIF(CashReceivables[Unit],A70)</f>
        <v>30</v>
      </c>
      <c r="C70" s="2">
        <f>SUMIF(CashReceivables[Unit],A70,CashReceivables[Material Value])</f>
        <v>10533380</v>
      </c>
      <c r="D70" s="2">
        <f>SUMIF(CashReceivables[Unit],A70,CashReceivables[GST])</f>
        <v>1896009</v>
      </c>
      <c r="E70" s="2">
        <f>SUMIF(CashReceivables[Unit],A70,CashReceivables[TCS])</f>
        <v>248587</v>
      </c>
      <c r="F70" s="2">
        <f>SUMIF(CashReceivables[Unit],A70,CashReceivables[Total Receivables in Cash])</f>
        <v>12392524</v>
      </c>
      <c r="G70" s="2">
        <f>SUMIF(CashReceivables[Unit],A70,CashReceivables[SD Expected])</f>
        <v>2633349</v>
      </c>
      <c r="H70" s="2">
        <f>SUMIF(CashReceivables[Unit],A70,CashReceivables[SD Received])</f>
        <v>2633349</v>
      </c>
      <c r="I70" s="2">
        <f>SUMIF(CashReceivables[Unit],A70,CashReceivables[FP Expected])</f>
        <v>9759180</v>
      </c>
      <c r="J70" s="2">
        <f>SUMIF(CashReceivables[Unit],A70,CashReceivables[FP Received])</f>
        <v>6524828</v>
      </c>
      <c r="K70" s="2">
        <f>SUMIF(CashReceivables[Unit],A70,CashReceivables[Total Received])</f>
        <v>9158177</v>
      </c>
      <c r="L70" s="2">
        <f>SUMIF(CashReceivables[Unit],A70,CashReceivables[Outstanding])</f>
        <v>3234349</v>
      </c>
      <c r="M70" s="8">
        <f>IF(F70=0,0,K70/F70)</f>
        <v>0.739008</v>
      </c>
    </row>
    <row r="71">
      <c r="A71" t="inlineStr" s="3">
        <is>
          <t xml:space="preserve">TOTAL</t>
        </is>
      </c>
      <c r="B71" s="3">
        <f>SUM(B68:B70)</f>
        <v>37</v>
      </c>
      <c r="C71" s="3">
        <f>SUM(C68:C70)</f>
        <v>15130598</v>
      </c>
      <c r="D71" s="3">
        <f>SUM(D68:D70)</f>
        <v>2723508</v>
      </c>
      <c r="E71" s="3">
        <f>SUM(E68:E70)</f>
        <v>357082</v>
      </c>
      <c r="F71" s="3">
        <f>SUM(F68:F70)</f>
        <v>17709207</v>
      </c>
      <c r="G71" s="3">
        <f>SUM(G68:G70)</f>
        <v>3782654</v>
      </c>
      <c r="H71" s="3">
        <f>SUM(H68:H70)</f>
        <v>3585132</v>
      </c>
      <c r="I71" s="3">
        <f>SUM(I68:I70)</f>
        <v>13926557</v>
      </c>
      <c r="J71" s="3">
        <f>SUM(J68:J70)</f>
        <v>7581353</v>
      </c>
      <c r="K71" s="3">
        <f>SUM(K68:K70)</f>
        <v>11166485</v>
      </c>
      <c r="L71" s="3">
        <f>SUM(L68:L70)</f>
        <v>6542724</v>
      </c>
      <c r="M71" s="8">
        <f>IF(F71=0,0,K71/F71)</f>
        <v>0.630547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6"/>
  <cols>
    <col min="1" max="1" width="88"/>
    <col min="2" max="2" width="4"/>
    <col min="3" max="3" width="16"/>
  </cols>
  <sheetData>
    <row r="1" ht="18">
      <c r="A1" t="inlineStr" s="6">
        <is>
          <t xml:space="preserve">ScrapSale Pro — Power BI</t>
        </is>
      </c>
    </row>
    <row r="2" ht="18">
      <c r="A2" t="inlineStr" s="7">
        <is>
          <t xml:space="preserve">This workbook is Power BI-ready. The Excel table CashReceivables on sheet “Cash Receivables” is the fact table (live formulas, refresh-friendly).</t>
        </is>
      </c>
    </row>
    <row r="3"/>
    <row r="4" ht="18">
      <c r="A4" t="inlineStr" s="1">
        <is>
          <t xml:space="preserve">Connect from Power BI Desktop</t>
        </is>
      </c>
    </row>
    <row r="5" ht="18">
      <c r="A5" t="inlineStr" s="7">
        <is>
          <t xml:space="preserve">1. Home → Get data → Excel workbook → choose this file.</t>
        </is>
      </c>
    </row>
    <row r="6" ht="18">
      <c r="A6" t="inlineStr" s="7">
        <is>
          <t xml:space="preserve">2. In Navigator tick the table CashReceivables (prefer the table, not a raw sheet).</t>
        </is>
      </c>
    </row>
    <row r="7" ht="18">
      <c r="A7" t="inlineStr" s="7">
        <is>
          <t xml:space="preserve">3. Load. Build a Matrix / Pivot visual: Rows = Buyer (or Auction / Material / Unit).</t>
        </is>
      </c>
    </row>
    <row r="8" ht="18">
      <c r="A8" t="inlineStr" s="7">
        <is>
          <t xml:space="preserve">4. Values = Total Receivables in Cash, Total Received, Outstanding. Add Collection % from the measures below.</t>
        </is>
      </c>
    </row>
    <row r="9"/>
    <row r="10" ht="18">
      <c r="A10" t="inlineStr" s="1">
        <is>
          <t xml:space="preserve">Suggested DAX measures (Model view → New measure)</t>
        </is>
      </c>
    </row>
    <row r="11" ht="18">
      <c r="A11" t="inlineStr" s="7">
        <is>
          <t xml:space="preserve">TRIC := SUM(CashReceivables[Total Receivables in Cash])</t>
        </is>
      </c>
    </row>
    <row r="12" ht="18">
      <c r="A12" t="inlineStr" s="7">
        <is>
          <t xml:space="preserve">Received := SUM(CashReceivables[Total Received])</t>
        </is>
      </c>
    </row>
    <row r="13" ht="18">
      <c r="A13" t="inlineStr" s="7">
        <is>
          <t xml:space="preserve">Outstanding Amt := SUM(CashReceivables[Outstanding])</t>
        </is>
      </c>
    </row>
    <row r="14" ht="18">
      <c r="A14" t="inlineStr" s="7">
        <is>
          <t xml:space="preserve">Collection % := DIVIDE([Received], [TRIC])</t>
        </is>
      </c>
    </row>
    <row r="15" ht="18">
      <c r="A15" t="inlineStr" s="7">
        <is>
          <t xml:space="preserve">SD Received := SUM(CashReceivables[SD Received])</t>
        </is>
      </c>
    </row>
    <row r="16" ht="18">
      <c r="A16" t="inlineStr" s="7">
        <is>
          <t xml:space="preserve">FP Received := SUM(CashReceivables[FP Received])</t>
        </is>
      </c>
    </row>
    <row r="17" ht="18">
      <c r="A17" t="inlineStr" s="7">
        <is>
          <t xml:space="preserve">Lot Count := DISTINCTCOUNT(CashReceivables[Lot No])</t>
        </is>
      </c>
    </row>
    <row r="18"/>
    <row r="19" ht="18">
      <c r="A19" t="inlineStr" s="1">
        <is>
          <t xml:space="preserve">Live Excel formulas already in Cash Receivables</t>
        </is>
      </c>
    </row>
    <row r="20" ht="18">
      <c r="A20" t="inlineStr" s="7">
        <is>
          <t xml:space="preserve">Material Value = Qty × Rate</t>
        </is>
      </c>
    </row>
    <row r="21" ht="18">
      <c r="A21" t="inlineStr" s="7">
        <is>
          <t xml:space="preserve">GST TDS = ROUND(Material Value × GST TDS Rate % ÷ 100, 0)</t>
        </is>
      </c>
    </row>
    <row r="22" ht="18">
      <c r="A22" t="inlineStr" s="7">
        <is>
          <t xml:space="preserve">Total Receivables in Cash = Material Value + GST + TCS − Net Service Charge − TDS 194O − GST TDS</t>
        </is>
      </c>
    </row>
    <row r="23" ht="18">
      <c r="A23" t="inlineStr" s="7">
        <is>
          <t xml:space="preserve">SD Expected = ROUND(Material Value × 25%, 0)   (unless overridden)</t>
        </is>
      </c>
    </row>
    <row r="24" ht="18">
      <c r="A24" t="inlineStr" s="7">
        <is>
          <t xml:space="preserve">FP Expected = Total Receivables − SD Expected   (unless overridden)</t>
        </is>
      </c>
    </row>
    <row r="25" ht="18">
      <c r="A25" t="inlineStr" s="7">
        <is>
          <t xml:space="preserve">Total Received = SD Received + FP Received</t>
        </is>
      </c>
    </row>
    <row r="26" ht="18">
      <c r="A26" t="inlineStr" s="7">
        <is>
          <t xml:space="preserve">Outstanding = Total Receivables − Total Received</t>
        </is>
      </c>
    </row>
    <row r="27"/>
    <row r="28" ht="18">
      <c r="A28" t="inlineStr" s="1">
        <is>
          <t xml:space="preserve">Workbook snapshot</t>
        </is>
      </c>
    </row>
    <row r="29" ht="18">
      <c r="A29" t="inlineStr" s="7">
        <is>
          <t xml:space="preserve">Lots: 37   ·   Buyers: 13   ·   Auctions: 4   ·   Collection: 63%</t>
        </is>
      </c>
    </row>
    <row r="30" ht="18">
      <c r="A30" t="inlineStr" s="7">
        <is>
          <t xml:space="preserve">Re-import this file in ScrapSale Pro via Data &amp; Backup → Import. The Cash Receivables sheet (Lot No + Buyer) is detected automatically.</t>
        </is>
      </c>
    </row>
    <row r="32">
      <c r="A32" t="inlineStr" s="4">
        <is>
          <t xml:space="preserve">Buyer</t>
        </is>
      </c>
      <c r="C32" t="inlineStr" s="4">
        <is>
          <t xml:space="preserve">Auction</t>
        </is>
      </c>
    </row>
    <row r="33">
      <c r="A33" t="inlineStr">
        <is>
          <t xml:space="preserve">AL HAMD TRADE CORPORATION</t>
        </is>
      </c>
      <c r="C33">
        <v>21977</v>
      </c>
    </row>
    <row r="34">
      <c r="A34" t="inlineStr">
        <is>
          <t xml:space="preserve">F R KHANS ENTERPRISES</t>
        </is>
      </c>
      <c r="C34">
        <v>21978</v>
      </c>
    </row>
    <row r="35">
      <c r="A35" t="inlineStr">
        <is>
          <t xml:space="preserve">HIND TRADERS</t>
        </is>
      </c>
      <c r="C35">
        <v>21979</v>
      </c>
    </row>
    <row r="36">
      <c r="A36" t="inlineStr">
        <is>
          <t xml:space="preserve">KASHYAP TRADING CO</t>
        </is>
      </c>
      <c r="C36">
        <v>21980</v>
      </c>
    </row>
    <row r="37">
      <c r="A37" t="inlineStr">
        <is>
          <t xml:space="preserve">M I SCRAP TRADERS</t>
        </is>
      </c>
    </row>
    <row r="38">
      <c r="A38" t="inlineStr">
        <is>
          <t xml:space="preserve">NATIONAL ENTERPRISES</t>
        </is>
      </c>
    </row>
    <row r="39">
      <c r="A39" t="inlineStr">
        <is>
          <t xml:space="preserve">NATIONAL SCRAP AND BUILDING MATERIAL SUPPLIER</t>
        </is>
      </c>
    </row>
    <row r="40">
      <c r="A40" t="inlineStr">
        <is>
          <t xml:space="preserve">OMKAR STEELS</t>
        </is>
      </c>
    </row>
    <row r="41">
      <c r="A41" t="inlineStr">
        <is>
          <t xml:space="preserve">S M ENTERPRISES</t>
        </is>
      </c>
    </row>
    <row r="42">
      <c r="A42" t="inlineStr">
        <is>
          <t xml:space="preserve">SAHARA ENTERPRISES</t>
        </is>
      </c>
    </row>
    <row r="43">
      <c r="A43" t="inlineStr">
        <is>
          <t xml:space="preserve">SHAR JAHAN TRADERS</t>
        </is>
      </c>
    </row>
    <row r="44">
      <c r="A44" t="inlineStr">
        <is>
          <t xml:space="preserve">STERLING ENTERPRISES</t>
        </is>
      </c>
    </row>
    <row r="45">
      <c r="A45" t="inlineStr">
        <is>
          <t xml:space="preserve">WATAN SCRAP TRADERS</t>
        </is>
      </c>
    </row>
  </sheetData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ScrapSale Pro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Receivables</vt:lpstr>
      <vt:lpstr>Pivot Analytics</vt:lpstr>
      <vt:lpstr>Power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ScrapSale Pro — Cash Receivables</dc:title>
  <dc:creator>ScrapSale Pro</dc:creator>
  <cp:lastModifiedBy>ScrapSale Pro</cp:lastModifiedBy>
</cp:coreProperties>
</file>